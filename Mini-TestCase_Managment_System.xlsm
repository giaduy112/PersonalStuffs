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0" yWindow="0" windowWidth="15600" windowHeight="7905" tabRatio="882"/>
  </bookViews>
  <sheets>
    <sheet name="Tools" sheetId="22" r:id="rId1"/>
    <sheet name="Test Cases" sheetId="1" r:id="rId2"/>
    <sheet name="Constants" sheetId="2" r:id="rId3"/>
    <sheet name="Troubleshooting" sheetId="21" r:id="rId4"/>
  </sheets>
  <functionGroups builtInGroupCount="17"/>
  <definedNames>
    <definedName name="Cert_Suite_Status">Cert_Suite_Table[Cert Suite]</definedName>
    <definedName name="Engineer_Names">Engineer_Table[Engineer Names]</definedName>
    <definedName name="Fail_Type_Values">Fail_Type_Table[Fail Type]</definedName>
    <definedName name="Modes">Mode_Table[Mode]</definedName>
    <definedName name="Outside_Bug_Tool_Link">Constants!$A$12</definedName>
    <definedName name="Production_TC_Color">Constants!#REF!</definedName>
    <definedName name="Stability_Values">Stability_Table[Stability]</definedName>
    <definedName name="Testcase_Color">Constants!#REF!</definedName>
    <definedName name="TestCaseStatus">TC_Status_Table[Test Case Status]</definedName>
    <definedName name="Total_Time_Color">Constants!#REF!</definedName>
    <definedName name="Workflow_Color">Constants!#REF!</definedName>
  </definedNames>
  <calcPr calcId="144525"/>
</workbook>
</file>

<file path=xl/calcChain.xml><?xml version="1.0" encoding="utf-8"?>
<calcChain xmlns="http://schemas.openxmlformats.org/spreadsheetml/2006/main">
  <c r="D366" i="1" l="1"/>
  <c r="D57" i="1"/>
  <c r="D436" i="1"/>
  <c r="D467" i="1"/>
  <c r="D300" i="1"/>
  <c r="D336" i="1"/>
  <c r="D474" i="1"/>
  <c r="D489" i="1"/>
  <c r="D376" i="1"/>
  <c r="D497" i="1"/>
  <c r="D320" i="1"/>
  <c r="D461" i="1"/>
  <c r="D312" i="1"/>
  <c r="D280" i="1"/>
  <c r="D327" i="1"/>
  <c r="D513" i="1"/>
  <c r="D349" i="1"/>
  <c r="D307" i="1"/>
  <c r="D285" i="1"/>
  <c r="D293" i="1"/>
  <c r="D354" i="1"/>
  <c r="D357" i="1"/>
  <c r="D505" i="1"/>
  <c r="D187" i="1"/>
  <c r="D160" i="1"/>
  <c r="D207" i="1"/>
  <c r="D244" i="1"/>
  <c r="D197" i="1"/>
  <c r="D273" i="1"/>
  <c r="D178" i="1"/>
  <c r="D175" i="1"/>
  <c r="D163" i="1"/>
  <c r="D181" i="1"/>
  <c r="D168" i="1"/>
  <c r="D222" i="1"/>
  <c r="D242" i="1"/>
  <c r="D212" i="1"/>
  <c r="D150" i="1"/>
  <c r="D232" i="1"/>
  <c r="D192" i="1"/>
  <c r="D240" i="1"/>
  <c r="D156" i="1"/>
  <c r="D247" i="1"/>
  <c r="D217" i="1"/>
  <c r="D202" i="1"/>
  <c r="D254" i="1"/>
  <c r="D227" i="1"/>
  <c r="D184" i="1"/>
  <c r="D270" i="1"/>
  <c r="D172" i="1"/>
</calcChain>
</file>

<file path=xl/sharedStrings.xml><?xml version="1.0" encoding="utf-8"?>
<sst xmlns="http://schemas.openxmlformats.org/spreadsheetml/2006/main" count="2049" uniqueCount="616">
  <si>
    <t>TFS ID</t>
  </si>
  <si>
    <t>Test case</t>
  </si>
  <si>
    <t>Automation Status</t>
  </si>
  <si>
    <t>In Production</t>
  </si>
  <si>
    <t>Note</t>
  </si>
  <si>
    <t>To be Implemented</t>
  </si>
  <si>
    <t>To be Implemented (Modify)</t>
  </si>
  <si>
    <t>In Progress</t>
  </si>
  <si>
    <t>In Progress (Modify)</t>
  </si>
  <si>
    <t>Waiting for cert approval (Modify)</t>
  </si>
  <si>
    <t>Waiting for approval</t>
  </si>
  <si>
    <t>Skipped</t>
  </si>
  <si>
    <t>Wellbase Workflow</t>
  </si>
  <si>
    <t>1 Add wells</t>
  </si>
  <si>
    <t>2 Add wells into empty database</t>
  </si>
  <si>
    <t>3 Create live layer in global</t>
  </si>
  <si>
    <t>4 Create AOI</t>
  </si>
  <si>
    <t>5 Create live layer in AOI</t>
  </si>
  <si>
    <t>6 Add wells in AOI in WB</t>
  </si>
  <si>
    <t>7 Update live layer in AOI in GA</t>
  </si>
  <si>
    <t>8 Create non_live layer in AOI</t>
  </si>
  <si>
    <t>9 Add well in AOI in GA</t>
  </si>
  <si>
    <t>10 Update live layer in global</t>
  </si>
  <si>
    <t>Wellbase Workflow 2</t>
  </si>
  <si>
    <t>Formation Order</t>
  </si>
  <si>
    <t>TFS# 30098 WB-When select Application formation order by "Age Code" then the formation order shown as reverse in the Formation Dropdown  in Layer create.</t>
  </si>
  <si>
    <t>Filter Zones and Attributes</t>
  </si>
  <si>
    <t>Source Manager</t>
  </si>
  <si>
    <t>Strat Column Manager</t>
  </si>
  <si>
    <t>Hot keys</t>
  </si>
  <si>
    <t>Well Summary</t>
  </si>
  <si>
    <t>PS#/TFS# Issues</t>
  </si>
  <si>
    <t>Wellbase Workflow 3</t>
  </si>
  <si>
    <t>Reports</t>
  </si>
  <si>
    <t>Filtering</t>
  </si>
  <si>
    <t>Filter Formation and Sources</t>
  </si>
  <si>
    <t>Scout Card View Find and Replace</t>
  </si>
  <si>
    <t>Delete wells</t>
  </si>
  <si>
    <t>Empty Database</t>
  </si>
  <si>
    <t>Wellbase Workflow 4</t>
  </si>
  <si>
    <t>Calculate Formations</t>
  </si>
  <si>
    <t>Batch Production Calculator</t>
  </si>
  <si>
    <t>User FM List</t>
  </si>
  <si>
    <t>Formation Show Hide Columns</t>
  </si>
  <si>
    <t>Well Symbol Library</t>
  </si>
  <si>
    <t>Wellbase Workflow 5</t>
  </si>
  <si>
    <t>IPC</t>
  </si>
  <si>
    <t>Import Excel Macro</t>
  </si>
  <si>
    <t>Edit captions</t>
  </si>
  <si>
    <t>Wellbase Workflow 6</t>
  </si>
  <si>
    <t>Batch Survey Calculate</t>
  </si>
  <si>
    <t>PS# 860916: WB: Data disappears from display on using Batch Survey Calculate Option</t>
  </si>
  <si>
    <t>Original Operator</t>
  </si>
  <si>
    <t>Original Operator (Display in WellBase List View and Scout Tuicket View)</t>
  </si>
  <si>
    <t>Add new data in all tabs of wellbase</t>
  </si>
  <si>
    <t>Edit existing record</t>
  </si>
  <si>
    <t>Production Graph</t>
  </si>
  <si>
    <t>Wellbase Workflow 7</t>
  </si>
  <si>
    <t>List View Sort</t>
  </si>
  <si>
    <t>Legal types</t>
  </si>
  <si>
    <t>TFS# 28348 WellBase  Scout Ticket: Legal Description values not save for the "Texas" legal type when edited from context menu.</t>
  </si>
  <si>
    <t>Layer Create</t>
  </si>
  <si>
    <t>Batch Well Spotting_Updated</t>
  </si>
  <si>
    <t>Wellbase Workflow 8</t>
  </si>
  <si>
    <t>Document Library - Add View and Delete.</t>
  </si>
  <si>
    <t>WB: Text Track Field in WellBase (Scout Ticket View).</t>
  </si>
  <si>
    <t>Add a custom strat column</t>
  </si>
  <si>
    <t xml:space="preserve"> Hot List Options.</t>
  </si>
  <si>
    <t>Quick Filter</t>
  </si>
  <si>
    <t>Quick Filter options (Launch, close, save as, ok, cancel)</t>
  </si>
  <si>
    <t>Quick Filter - Scout Ticket</t>
  </si>
  <si>
    <t>Quick Filter - Data Present</t>
  </si>
  <si>
    <t>Quick Filter - workflow</t>
  </si>
  <si>
    <t>Quick Filter - Location</t>
  </si>
  <si>
    <t>Wellbase Workflow 9</t>
  </si>
  <si>
    <t>Scout Ticket View - Edit Coordinates</t>
  </si>
  <si>
    <t>Delete All Wells-Feature</t>
  </si>
  <si>
    <t>Pad Design - Overwrite Existing record</t>
  </si>
  <si>
    <t>Pad Design - Pad Design - Import Spreadsheet</t>
  </si>
  <si>
    <t>Pad Design - Key Fields</t>
  </si>
  <si>
    <t>Add WSN to Scout Ticket</t>
  </si>
  <si>
    <t>1 Add wells_OW</t>
  </si>
  <si>
    <t>2 Add wells into empty database_OW</t>
  </si>
  <si>
    <t>3 Create live layer in global_OW</t>
  </si>
  <si>
    <t>4 Create AOI_OW</t>
  </si>
  <si>
    <t>5 Create live layer in AOI_OW</t>
  </si>
  <si>
    <t>6 Add wells in AOI in WB_OW</t>
  </si>
  <si>
    <t>7 Update live layer in AOI in GA_OW</t>
  </si>
  <si>
    <t>8 Create non_live layer in AOI_OW</t>
  </si>
  <si>
    <t>9 Add well in AOI in GA_OW</t>
  </si>
  <si>
    <t>10 Update live layer in global_OW</t>
  </si>
  <si>
    <t>Formation Order_OW</t>
  </si>
  <si>
    <t>Filter Zones and Attributes_OW</t>
  </si>
  <si>
    <t>Source Manager_OW</t>
  </si>
  <si>
    <t>Strat Column Manager_OW</t>
  </si>
  <si>
    <t>Hot keys_OW</t>
  </si>
  <si>
    <t>Well Summary_OW</t>
  </si>
  <si>
    <t>Filtering_OW</t>
  </si>
  <si>
    <t>Filter Formation and Sources_OW</t>
  </si>
  <si>
    <t>Scout Card View Find and Replace_OW</t>
  </si>
  <si>
    <t>Delete wells_OW</t>
  </si>
  <si>
    <t>Calculate Formations_OW</t>
  </si>
  <si>
    <t>User FM List_OW</t>
  </si>
  <si>
    <t>Well Symbol Library_OW</t>
  </si>
  <si>
    <t>Batch Production Calculator_OW</t>
  </si>
  <si>
    <t>Formation Show Hide Columns_OW</t>
  </si>
  <si>
    <t>IPC_OW</t>
  </si>
  <si>
    <t>Edit captions_OW</t>
  </si>
  <si>
    <t>Production Graph_OW</t>
  </si>
  <si>
    <t>Batch Survey Calculate_OW</t>
  </si>
  <si>
    <t>Layer Create_OW</t>
  </si>
  <si>
    <t>Legal types_OW</t>
  </si>
  <si>
    <t>Original Operator_OW</t>
  </si>
  <si>
    <t>Add new data in all tabs of wellbase_OW</t>
  </si>
  <si>
    <t>Edit existng record_OW</t>
  </si>
  <si>
    <t>Add data_OW</t>
  </si>
  <si>
    <t>Add new record_OW</t>
  </si>
  <si>
    <t>Delete data_OW</t>
  </si>
  <si>
    <t>Edit data_OW</t>
  </si>
  <si>
    <t>Support longer fields_OW</t>
  </si>
  <si>
    <t>Special features of tab_OW</t>
  </si>
  <si>
    <t>Core - Edit Core Record</t>
  </si>
  <si>
    <t>Core - Add Core Record</t>
  </si>
  <si>
    <t>Core - Delete Core Record</t>
  </si>
  <si>
    <t>16 Core Header - UI</t>
  </si>
  <si>
    <t>Core - Unit Conversion for Core Page</t>
  </si>
  <si>
    <t>15 Core Header - Special features</t>
  </si>
  <si>
    <t>14 Core Header - Edit captions</t>
  </si>
  <si>
    <t>Core - Add Analysis Record</t>
  </si>
  <si>
    <t>Core - Edit Analysis Record</t>
  </si>
  <si>
    <t>Core - Delete Analysis Record</t>
  </si>
  <si>
    <t>TFS #27862 : User should not be able to delete the record if include with "Add new record" row marked with (*) Symbol for "Formation" table</t>
  </si>
  <si>
    <t>24 Core Analysis - Edit captions</t>
  </si>
  <si>
    <t>27 Core Analysis - Right click menu</t>
  </si>
  <si>
    <t>25 Core Analysis - Special features</t>
  </si>
  <si>
    <t>26 Core Analysis - UI</t>
  </si>
  <si>
    <t>Core - Unit Conversion Analysis Page</t>
  </si>
  <si>
    <t>Show Lithology in Core Tab</t>
  </si>
  <si>
    <t>1 Calculated field</t>
  </si>
  <si>
    <t>1 Formation - Add a new record by entering basic data</t>
  </si>
  <si>
    <t>1 Formation - Unit conversion</t>
  </si>
  <si>
    <t>2 Formation - Add a new record by entering all data</t>
  </si>
  <si>
    <t>TFS #28407 : WellBase / Formation Table; Adding "Base MD" values under Formation table shifts from "Base MD" to "Base TVD"
TFS #28405 : WellBase - ODBC 10 - Error messages appear and the behavior is inconsistent  while adding / editing in Formation Table.</t>
  </si>
  <si>
    <t>3 Formation - Edit a record for all fields</t>
  </si>
  <si>
    <t>5 Formation - Delete data from all fields</t>
  </si>
  <si>
    <t>7 Formation - Delete record</t>
  </si>
  <si>
    <t>8 Formation - GUI</t>
  </si>
  <si>
    <t>9 Formation - Edit captions</t>
  </si>
  <si>
    <t>Check for the case of zero width column</t>
  </si>
  <si>
    <t>DefCon Workflow 1</t>
  </si>
  <si>
    <t>1 Overwrite All - Bulk load update</t>
  </si>
  <si>
    <t>2 Overwrite All - Regular update</t>
  </si>
  <si>
    <t>3 Preserve All - Bulk load update</t>
  </si>
  <si>
    <t>4 Preserve All - Regular update</t>
  </si>
  <si>
    <t>5 Protect Data</t>
  </si>
  <si>
    <t>DefCon Workflow 2</t>
  </si>
  <si>
    <t>1 Import ASCII2</t>
  </si>
  <si>
    <t>2 Import ASCII3</t>
  </si>
  <si>
    <t>3 Batch Imports</t>
  </si>
  <si>
    <t>DefCon Workflow 3</t>
  </si>
  <si>
    <t>import ASCII4</t>
  </si>
  <si>
    <t>Coordinate conversion</t>
  </si>
  <si>
    <t>DefCon Workflow 4</t>
  </si>
  <si>
    <t>Define Settings</t>
  </si>
  <si>
    <t>Calculate Surveys</t>
  </si>
  <si>
    <t>Project Extend</t>
  </si>
  <si>
    <t>Import New Data</t>
  </si>
  <si>
    <t>DefCon Workflow 5</t>
  </si>
  <si>
    <t>Unit conversion</t>
  </si>
  <si>
    <t>Import IHS297</t>
  </si>
  <si>
    <t>Import IHS298</t>
  </si>
  <si>
    <t>DefCon Workflow 6</t>
  </si>
  <si>
    <t>Completion history</t>
  </si>
  <si>
    <t>Import</t>
  </si>
  <si>
    <t>DefCon Workflow 7</t>
  </si>
  <si>
    <t>Export</t>
  </si>
  <si>
    <t>Importing Version ASCII4 file using Bulk / Regular Import options into Blank/Non-Blank and Version Projects to test the changes made in ASCII4 Forrmat File (*.gxi)</t>
  </si>
  <si>
    <t>DefCon Workflow 8 ASCII2</t>
  </si>
  <si>
    <t>ASCII2 - Bulk Import into Blank Project</t>
  </si>
  <si>
    <t>ASCII2 - Regular Import into Blank Project</t>
  </si>
  <si>
    <t>DefCon Workflow 8 ASCII3</t>
  </si>
  <si>
    <t>ASCII3 - Bulk Import into Blank Project</t>
  </si>
  <si>
    <t>ASCII3 - Regular Import into Blank Project</t>
  </si>
  <si>
    <t>DefCon Workflow 8 ASCII4</t>
  </si>
  <si>
    <t>ASCII4 - Bulk Import into Blank Project</t>
  </si>
  <si>
    <t>ASCII4 - Regular Import into Blank Project</t>
  </si>
  <si>
    <t>DefCon Workflow 10 ASCII3</t>
  </si>
  <si>
    <t>ASCII3 - Bulk Import with Overwrite All</t>
  </si>
  <si>
    <t>ASCII3 - Regular Import with Overwrite All</t>
  </si>
  <si>
    <t>ASCII3 - Bulk Import with Preserve All</t>
  </si>
  <si>
    <t>ASCII3 - Regular Import with Preserve All</t>
  </si>
  <si>
    <t>DefCon Workflow 10 ASCII2</t>
  </si>
  <si>
    <t>ASCII2 - Bulk Import with Overwrite All</t>
  </si>
  <si>
    <t>ASCII2 - Regular Import with Overwrite All</t>
  </si>
  <si>
    <t>ASCII2 - Bulk Import with Preserve All</t>
  </si>
  <si>
    <t>ASCII2 - Regular Import with Preserve All</t>
  </si>
  <si>
    <t>DefCon Workflow 10 ASCII4</t>
  </si>
  <si>
    <t>ASCII4 - Bulk Import with Overwrite All</t>
  </si>
  <si>
    <t>ASCII4 - Bulk Import with Preserve All</t>
  </si>
  <si>
    <t>ASCII4 - Regular Import with Overwrite All</t>
  </si>
  <si>
    <t>ASCII4 - Regular Import with Preserve All</t>
  </si>
  <si>
    <t>DefCon Workflow 9a ASCII2</t>
  </si>
  <si>
    <t>ASCII2 - Bulk Import with Define Setting + Import New Data ON + Select All tables to Overwrite</t>
  </si>
  <si>
    <t>ASCII2 - Bulk Import with Define Setting + Import New Data ON + De-Select All tables to Overwrite</t>
  </si>
  <si>
    <t>ASCII2 - Regular Import with Define Setting + Import New Data ON + Select All tables to Overwrite</t>
  </si>
  <si>
    <t>ASCII2 - Regular Import with Define Setting + Import New Data ON + De-Select All tables to Overwrite</t>
  </si>
  <si>
    <t>DefCon Workflow 9b ASCII2</t>
  </si>
  <si>
    <t>ASCII2 - Bulk Import with Define Setting + Import New Data OFF + Select All tables to Overwrite</t>
  </si>
  <si>
    <t>ASCII2 - Bulk Import with Define Setting + Import New Data OFF + De-Select All tables to Overwrite</t>
  </si>
  <si>
    <t>ASCII2 - Regular Import with Define Setting + Import New Data OFF + Select All tables to Overwrite</t>
  </si>
  <si>
    <t>ASCII2 - Regular Import with Define Setting + Import New Data OFF + De-Select All tables to Overwrite</t>
  </si>
  <si>
    <t>DefCon Workflow 9a ASCII3</t>
  </si>
  <si>
    <t>ASCII3 - Bulk Import with Define Setting + Import New Data ON + Select All tables to Overwrite</t>
  </si>
  <si>
    <t>ASCII3 - Bulk Import with Define Setting + Import New Data ON + De-Select All tables to Overwrite</t>
  </si>
  <si>
    <t>ASCII3 - Regular Import with Define Setting + Import New Data ON + Select All tables to Overwrite</t>
  </si>
  <si>
    <t>ASCII3 - Regular Import with Define Setting + Import New Data ON + De-Select All tables to Overwrite</t>
  </si>
  <si>
    <t>DefCon Workflow 9b ASCII3</t>
  </si>
  <si>
    <t>ASCII3 - Bulk Import with Define Setting + Import New Data OFF + Select All tables to Overwrite</t>
  </si>
  <si>
    <t>ASCII3 - Bulk Import with Define Setting + Import New Data OFF + De-Select All tables to Overwrite</t>
  </si>
  <si>
    <t>ASCII3 - Regular Import with Define Setting + Import New Data OFF + Select All tables to Overwrite</t>
  </si>
  <si>
    <t>ASCII3 - Regular Import with Define Setting + Import New Data OFF + De-Select All tables to Overwrite</t>
  </si>
  <si>
    <t>DefCon Workflow 9a ASCII4</t>
  </si>
  <si>
    <t>ASCII4 - Bulk Import with Define Setting + Import New Data ON + Select All tables to Overwrite</t>
  </si>
  <si>
    <t>ASCII4 - Bulk Import with Define Setting + Import New Data ON + De-Select All tables to Overwrite</t>
  </si>
  <si>
    <t>ASCII4 - Regular Import with Define Setting + Import New Data ON + Select All tables to Overwrite</t>
  </si>
  <si>
    <t>ASCII4 - Regular Import with Define Setting + Import New Data ON + De-Select All tables to Overwrite</t>
  </si>
  <si>
    <t>DefCon Workflow 9b ASCII4</t>
  </si>
  <si>
    <t>ASCII4 - Bulk Import with Define Setting + Import New Data OFF + Select All tables to Overwrite</t>
  </si>
  <si>
    <t>ASCII4 - Bulk Import with Define Setting + Import New Data OFF + De-Select All tables to Overwrite</t>
  </si>
  <si>
    <t>ASCII4 - Regular Import with Define Setting + Import New Data OFF + Select All tables to Overwrite</t>
  </si>
  <si>
    <t>ASCII4 - Regular Import with Define Setting + Import New Data OFF + De-Select All tables to Overwrite</t>
  </si>
  <si>
    <t>Nga Le</t>
  </si>
  <si>
    <t>Thanh Duong</t>
  </si>
  <si>
    <t>Duy Le</t>
  </si>
  <si>
    <t>PE Workflow 1</t>
  </si>
  <si>
    <t>PE Tool Re_create Project Extents</t>
  </si>
  <si>
    <t>PE Filters</t>
  </si>
  <si>
    <t>PE Left Pane</t>
  </si>
  <si>
    <t>PE Right Pane</t>
  </si>
  <si>
    <t>PE Workflow 2</t>
  </si>
  <si>
    <t>PE Icon Items</t>
  </si>
  <si>
    <t>New_Prj</t>
  </si>
  <si>
    <t>PE Start up Option</t>
  </si>
  <si>
    <t>Create new LogM workspace</t>
  </si>
  <si>
    <t>PE_File_Structure</t>
  </si>
  <si>
    <t>PE Properties</t>
  </si>
  <si>
    <t>Activate_AOI</t>
  </si>
  <si>
    <t>Include test case New AOI Khanh.Do</t>
  </si>
  <si>
    <t>PE Workflow 3</t>
  </si>
  <si>
    <t>Network_Prj</t>
  </si>
  <si>
    <t>PE_favorite</t>
  </si>
  <si>
    <t>PE_favorite2</t>
  </si>
  <si>
    <t>PE edit view web help</t>
  </si>
  <si>
    <t>PE Drop Down File Menu</t>
  </si>
  <si>
    <t>PE Logging</t>
  </si>
  <si>
    <t>PE Workflow 4</t>
  </si>
  <si>
    <t>PMSyscheck</t>
  </si>
  <si>
    <t>Replace test case PE Utilities.Khanh.Do</t>
  </si>
  <si>
    <t>Local Project Home Properties</t>
  </si>
  <si>
    <t>Network Project Home Properties</t>
  </si>
  <si>
    <t>Apply Filters</t>
  </si>
  <si>
    <t>Activation of tutorial projects and sample project</t>
  </si>
  <si>
    <t>PE Tool Re_create Project Extents_OW</t>
  </si>
  <si>
    <t>SAMPLE_PEWF-&gt; Create new project</t>
  </si>
  <si>
    <t>PE Filters_OW</t>
  </si>
  <si>
    <t>PE Left Pane_OW</t>
  </si>
  <si>
    <t>PE Right Pane_OW</t>
  </si>
  <si>
    <t>SAMPLE_PEWF-&gt; Create new project, POWDER_PEWF -&gt; Powder_daily.dmp</t>
  </si>
  <si>
    <t>PE Icon Items_OW</t>
  </si>
  <si>
    <t>New_Prj_OW</t>
  </si>
  <si>
    <t>PE Start up Option_OW</t>
  </si>
  <si>
    <t>PE_File_Structure_OW</t>
  </si>
  <si>
    <t>PE Properties_OW</t>
  </si>
  <si>
    <t>New_AOI_OW</t>
  </si>
  <si>
    <t>Activate_AOI_OW</t>
  </si>
  <si>
    <t>Network_Prj_OW</t>
  </si>
  <si>
    <t>SAMPLE_PEWF-&gt; Create new project, POWDER_PEWF -&gt; Powder_daily.dmp
SAMPLE_PEWF3-&gt; Create new project, POWDER_PEWF3 -&gt; Powder_daily.dmp</t>
  </si>
  <si>
    <t>PE_favorite_OW</t>
  </si>
  <si>
    <t>PE Drop Down File Menu_OW</t>
  </si>
  <si>
    <t>QueryBuilder Workflow</t>
  </si>
  <si>
    <t>01. New Filter</t>
  </si>
  <si>
    <t>03. Run Query</t>
  </si>
  <si>
    <t>04. Save Options</t>
  </si>
  <si>
    <t>05.Open Filter</t>
  </si>
  <si>
    <t>06.Filter Properties</t>
  </si>
  <si>
    <t>07.View SQL String</t>
  </si>
  <si>
    <t>09. Export Query Results</t>
  </si>
  <si>
    <t>10. Print Options</t>
  </si>
  <si>
    <t>QueryBuilder Workflow 2</t>
  </si>
  <si>
    <t>LeaseMap Filter</t>
  </si>
  <si>
    <t>SeisBase Filter</t>
  </si>
  <si>
    <t>02.WellBase Filter</t>
  </si>
  <si>
    <t>08.Query Menu</t>
  </si>
  <si>
    <t>Edit</t>
  </si>
  <si>
    <t>Font</t>
  </si>
  <si>
    <t>Set Operations</t>
  </si>
  <si>
    <t>Log Data Filter</t>
  </si>
  <si>
    <t>AOI</t>
  </si>
  <si>
    <t>SmartSECTION Filter</t>
  </si>
  <si>
    <t>Project Notes</t>
  </si>
  <si>
    <t>Column Width</t>
  </si>
  <si>
    <t>QueryBuilder Workflow 3</t>
  </si>
  <si>
    <t xml:space="preserve">Well Header </t>
  </si>
  <si>
    <t>WB Filter made from AOI</t>
  </si>
  <si>
    <t>WB Filter made from Global</t>
  </si>
  <si>
    <t>Well Header Complete List</t>
  </si>
  <si>
    <t>Cert Test 1 - QueryBuilder - WellBase Filter</t>
  </si>
  <si>
    <t>Cert Test 2 - QueryBuilder - Well Header and Zone Data Filter</t>
  </si>
  <si>
    <t>POWDER_QB -&gt; Powder_daily.dmp</t>
  </si>
  <si>
    <t xml:space="preserve">WellBase Filter made from AOI </t>
  </si>
  <si>
    <t>CSV_one</t>
  </si>
  <si>
    <t>01 Basic Functionality - Create Save CrossSection</t>
  </si>
  <si>
    <t>CSV2</t>
  </si>
  <si>
    <t>MMV_one</t>
  </si>
  <si>
    <t>01 Basic - Tool bar buttons</t>
  </si>
  <si>
    <t>02 Basic - Add Remove GA Layers</t>
  </si>
  <si>
    <t>07 Basic - Create Asave Projected XS - 1</t>
  </si>
  <si>
    <t>03 Basic - Create Save CrossSections -1</t>
  </si>
  <si>
    <t>MMV_Map work flow</t>
  </si>
  <si>
    <t>Map work flow</t>
  </si>
  <si>
    <t>03 Basic Functionality - Create Save CrossSections -1and create n display interval data</t>
  </si>
  <si>
    <t>MMV_two</t>
  </si>
  <si>
    <t>04 Basic - Create Save CrossSections -2</t>
  </si>
  <si>
    <t>16 Maps - Other Context Menu options</t>
  </si>
  <si>
    <t>17 Layer Selection Pane</t>
  </si>
  <si>
    <t>07 Maps - Structure Mpas - Draw Maps</t>
  </si>
  <si>
    <t>08 Maps - Structure Maps - show InterWEll pionts</t>
  </si>
  <si>
    <t>09 Maps - Faults - Draw Faults</t>
  </si>
  <si>
    <t>MMV_three</t>
  </si>
  <si>
    <t>10 Maps - Faults - Show Interwell points</t>
  </si>
  <si>
    <t>11 Maps - Intersections - Faults</t>
  </si>
  <si>
    <t>12 Maps - Intersections - Unconformites</t>
  </si>
  <si>
    <t>13 Maps - Attribute Maps - Zone Maps</t>
  </si>
  <si>
    <t>MMV_four</t>
  </si>
  <si>
    <t>14 Maps - Attribute Maps - Unconformity Missing Section</t>
  </si>
  <si>
    <t>15 Maps - Attribute Maps - Fault Vertical Separation - Draw VS</t>
  </si>
  <si>
    <t>18 Remaining View Menu Options</t>
  </si>
  <si>
    <t>GSM_workflow_update</t>
  </si>
  <si>
    <t>01 Conformance</t>
  </si>
  <si>
    <t>02 Fault Network - Ofset - Network+Offset</t>
  </si>
  <si>
    <t>03 Unconformity Trim</t>
  </si>
  <si>
    <t>04 Unconformity Network of GSM</t>
  </si>
  <si>
    <t>Fault Vertical Separation</t>
  </si>
  <si>
    <t>Add the UWI of the local type log to the selected type log</t>
  </si>
  <si>
    <t>Cert 01 2D Dip Surface Model</t>
  </si>
  <si>
    <t>Cert 02 FB Model and LOS edit</t>
  </si>
  <si>
    <t>Cert 03 Driiling targets and GSX</t>
  </si>
  <si>
    <t>STRATTON_FOR_CERT -&gt; Stratton_For_Cert.dmp</t>
  </si>
  <si>
    <t>Discovery TCs</t>
  </si>
  <si>
    <r>
      <t>Cert Test 1 - Launching and basics</t>
    </r>
    <r>
      <rPr>
        <sz val="12"/>
        <rFont val="Times New Roman"/>
        <family val="1"/>
      </rPr>
      <t xml:space="preserve"> </t>
    </r>
  </si>
  <si>
    <r>
      <t>Cert Test 2 - Displaying Wells in a Scene on Application</t>
    </r>
    <r>
      <rPr>
        <sz val="12"/>
        <rFont val="Times New Roman"/>
        <family val="1"/>
      </rPr>
      <t xml:space="preserve"> </t>
    </r>
  </si>
  <si>
    <t>Cert Test 3 - Displaying GeoAtlas Layers in a Scene</t>
  </si>
  <si>
    <r>
      <t>Cert Test 4 - Displaying smartSECTION Layers in a Scene</t>
    </r>
    <r>
      <rPr>
        <sz val="12"/>
        <rFont val="Times New Roman"/>
        <family val="1"/>
      </rPr>
      <t xml:space="preserve"> </t>
    </r>
  </si>
  <si>
    <t>Cert Test 5 – Displaying Log Curve Data</t>
  </si>
  <si>
    <t>Cert Test 6 – Displaying Overlays on Layers</t>
  </si>
  <si>
    <t>Cert Test 7 – Displaying Seismic Data in a Scene</t>
  </si>
  <si>
    <t xml:space="preserve">3D Scene Display Parameters dialog and controls background color </t>
  </si>
  <si>
    <t>Menus and Toolbars</t>
  </si>
  <si>
    <t>Save Scene manipulation settings as a Home Position that you can return to during the session</t>
  </si>
  <si>
    <t>3D Compass</t>
  </si>
  <si>
    <t>Control of Opacity of Layers</t>
  </si>
  <si>
    <t>Sort Columns in Wells Tab of Data Selector</t>
  </si>
  <si>
    <t>Show wells displayed in 3D scene in the Map View</t>
  </si>
  <si>
    <t>Group wells that are displayed in the scene in the Data Selection dialog</t>
  </si>
  <si>
    <t>User control of color palette used for display of structural layers from GeoAtlas</t>
  </si>
  <si>
    <t>Slider for Zoom, and placement of the slider for Vertical Exaggeration</t>
  </si>
  <si>
    <t>Show number of wells displayed in the grid and the number of the selected well on the Well Selection view</t>
  </si>
  <si>
    <t>Select Well that is displayed in the 3D scene</t>
  </si>
  <si>
    <t>Support Cut Planes of the 3D Earth Model (sS) in the 3D scene</t>
  </si>
  <si>
    <t>Drag and drop workflow for selection of layers in the Data Selection Dialog</t>
  </si>
  <si>
    <t>NUMBER column in Wells tab of Data Selector</t>
  </si>
  <si>
    <t>Global defaults for Wells in the Data Selector</t>
  </si>
  <si>
    <t>Multiple select wells to display in the 3D scene</t>
  </si>
  <si>
    <t>Discovery SeisMic Data TCs</t>
  </si>
  <si>
    <t>D3D - Displaying Time Slices on the 3D scene.</t>
  </si>
  <si>
    <t>D3D - Time and Depth Check boxes.</t>
  </si>
  <si>
    <t>D3D - Validation of Time Conversion from Depth.</t>
  </si>
  <si>
    <t>D3D - Check "Refresh Well Data" functionality due to any change in Wellbase</t>
  </si>
  <si>
    <t>D3D - Displaying Seismic Horizons on the 3D scene.</t>
  </si>
  <si>
    <t>Discovery Large DataSet TCs</t>
  </si>
  <si>
    <t>D3D - Launching and Basics_LargeDataSet</t>
  </si>
  <si>
    <t>D3D - Displaying Wells in a Scene_LargeDataSet</t>
  </si>
  <si>
    <t>D3D - Displaying GeoAtlas Layers in a Scene_LargeDataSet</t>
  </si>
  <si>
    <t>D3D - Displaying smartSECTION Surfaces in a Scene_LargeDataSet</t>
  </si>
  <si>
    <t>D3D - Displaying Log Curve Data_LargeDataSet</t>
  </si>
  <si>
    <t>D3D - Displaying Overlays on Layers_LargeDataSet</t>
  </si>
  <si>
    <t>Cert Test 1 - Launching and basics_OW</t>
  </si>
  <si>
    <t>Update script</t>
  </si>
  <si>
    <t>ZoneManger</t>
  </si>
  <si>
    <t>ZM Cert Test 1</t>
  </si>
  <si>
    <t>ZM Cert Test 2</t>
  </si>
  <si>
    <t xml:space="preserve">Modify script at line 878 due to TFS issue #26653 as Julia suggestion </t>
  </si>
  <si>
    <t>ZM Cert Test 3</t>
  </si>
  <si>
    <t>ASCII Import</t>
  </si>
  <si>
    <t xml:space="preserve"> PS#865320 - ZM - ASCII Import. Selecting Skip does not cause the attribute to be skipped during import</t>
  </si>
  <si>
    <t>Import NULL Option values</t>
  </si>
  <si>
    <t>IsoMap Import</t>
  </si>
  <si>
    <t>PS#818015 - ZM - IsoMap Import - should have better error messages when inputs are missing</t>
  </si>
  <si>
    <t>PS#869870 ZM – Crossplot, Export&gt;Graphics. Windows metafile is poor quality</t>
  </si>
  <si>
    <t>ZoneManger with AOI</t>
  </si>
  <si>
    <t>ZM Cert Test 1_AOI</t>
  </si>
  <si>
    <t>ZM Cert Test 2_AOI</t>
  </si>
  <si>
    <t>ZM Cert Test 3_AOI</t>
  </si>
  <si>
    <t>ASCII Import_AOI</t>
  </si>
  <si>
    <t>Import NULL Option values_AOI</t>
  </si>
  <si>
    <t>IsoMap Import_AOI</t>
  </si>
  <si>
    <t>Export_AOI</t>
  </si>
  <si>
    <t>ZM Cert Test 1_OW</t>
  </si>
  <si>
    <t>ZM1_OW-&gt;ZM1_OW.dmp</t>
  </si>
  <si>
    <t>ZM Cert Test 2_OW</t>
  </si>
  <si>
    <t xml:space="preserve">Modify script at line 833 due to TFS issue #26653 as Julia suggestion </t>
  </si>
  <si>
    <t>ZM Cert Test 3_OW</t>
  </si>
  <si>
    <t>ASCII Import_OW</t>
  </si>
  <si>
    <t>STRATTON_ZM-&gt;stratton_zm.dmp</t>
  </si>
  <si>
    <t>Import NULL Option values_OW</t>
  </si>
  <si>
    <t>IsoMap Import_OW</t>
  </si>
  <si>
    <t>Export_OW</t>
  </si>
  <si>
    <t>New</t>
  </si>
  <si>
    <t>Open</t>
  </si>
  <si>
    <t>02- Help About - Info Verification</t>
  </si>
  <si>
    <t>Run Time</t>
  </si>
  <si>
    <t>QueryBuilder Workflow Cert Test</t>
  </si>
  <si>
    <t>GXDB</t>
  </si>
  <si>
    <t>DOW</t>
  </si>
  <si>
    <t>Xuan Do</t>
  </si>
  <si>
    <t>Test Case Status</t>
  </si>
  <si>
    <t>Engineer Names</t>
  </si>
  <si>
    <r>
      <t>TFS #33034: D3D - Difference in the position of Log Curves between Discovery 3D and SeisVision.</t>
    </r>
    <r>
      <rPr>
        <sz val="10"/>
        <color indexed="10"/>
        <rFont val="Arial"/>
        <family val="2"/>
      </rPr>
      <t/>
    </r>
  </si>
  <si>
    <r>
      <rPr>
        <sz val="11"/>
        <color rgb="FF00B050"/>
        <rFont val="Calibri"/>
        <family val="2"/>
        <scheme val="minor"/>
      </rPr>
      <t>TFS# 30633: D3D - smartSECTION Interpretation Fails to open for project with large dataset like Eagle Ford and NW Oklahama.
TFS# 30597: D3D - Log (Custom) Provider Shows Exception When Discovery 3D is launched for Projects with large Dataset.</t>
    </r>
    <r>
      <rPr>
        <sz val="11"/>
        <color theme="1"/>
        <rFont val="Calibri"/>
        <family val="2"/>
        <scheme val="minor"/>
      </rPr>
      <t xml:space="preserve">
</t>
    </r>
    <r>
      <rPr>
        <sz val="11"/>
        <color rgb="FF00B050"/>
        <rFont val="Calibri"/>
        <family val="2"/>
        <scheme val="minor"/>
      </rPr>
      <t>TFS# 30470: D3D - Transparency field automatically add ".00" after entering value in Transparency Text Box.</t>
    </r>
  </si>
  <si>
    <t>TFS #32178: D3D - Surfaces tree node Does not appear on Expanding Interpretation tree node in smartSECTION tab of the Data Selector.</t>
  </si>
  <si>
    <t>TFS # 32178: D3D - Surfaces tree node Does not appear on Expanding Interpretation tree node in smartSECTION tab of the Data Selector.</t>
  </si>
  <si>
    <t xml:space="preserve">
TFS #30470: D3D - Transparency field automatically add ".00" after entering value in Transparency Text Box.</t>
  </si>
  <si>
    <t xml:space="preserve">
TFS #30470: D3D - Transparency field automatically add ".00" after entering value in Transparency Text Box.
TFS #32180:D3D - Transparency slider does not move to correct value after entering valid values into textbox.</t>
  </si>
  <si>
    <t>TFS #30291: D3D - No Context Menu For smartSECTION surface on the 3D scene.
TFS #32178: D3D - Surfaces tree node Does not appear on Expanding Interpretation tree node in smartSECTION tab of the Data Selector.</t>
  </si>
  <si>
    <r>
      <t xml:space="preserve">TFS #32179: D3D -Transparency textbox does not turn red after entering invalid values.
</t>
    </r>
    <r>
      <rPr>
        <sz val="10"/>
        <color rgb="FF00B050"/>
        <rFont val="Arial"/>
        <family val="2"/>
      </rPr>
      <t>TFS #32180:D3D - Transparency slider does not move to correct value after entering valid values into textbox.</t>
    </r>
  </si>
  <si>
    <t>TFS# 49911 “sS - In MMV "Display Properties" dialog is not display when selecting "Line Attributes" from context menu under "Correlation/Unconfirmity" Tree.”</t>
  </si>
  <si>
    <r>
      <t xml:space="preserve">TFS# 33591 - sST - selected surface in vertical section does not show soft points
</t>
    </r>
    <r>
      <rPr>
        <sz val="10"/>
        <color rgb="FF00B050"/>
        <rFont val="Arial"/>
        <family val="2"/>
      </rPr>
      <t>TFS# 48510 - The Log curve  in smartSTRAT CSV is disappeared when adding Surface Points for unassigned Fm first time #REGRESSION#</t>
    </r>
  </si>
  <si>
    <t>TFS# 31785: GA - Unable to re-launch GeoAtlas because process does not get disposed on app quit…</t>
  </si>
  <si>
    <t>TFS# 32746: DC- ASCII2/3/4 Import: The Bulk and Regular Import brings different TVD values in Formation, Faults and Survey Table for same data.</t>
  </si>
  <si>
    <t>PS# 862081 - DC - ASCII Import -&gt; Data on BH TVD, BH N/S Offset and CLOSURE field of Survey tab is not changed on import.</t>
  </si>
  <si>
    <t>PS# 864388 - DC - Import ASCII2/ASCII3/ASCII4 DST (Pipe Recovery/ Chamber Recover) and Core Analysis data is not append in most of the import scenarios.</t>
  </si>
  <si>
    <t>PS# 864388 - DC - Import ASCII2/ASCII3/ASCII4 DST (Pipe Recovery/ Chamber Recover) and Core Analysis data is not append in most of the import scenarios.
TFS# 32746: DC- ASCII2/3/4 Import: The Bulk and Regular Import brings different TVD values in Formation, Faults and Survey Table for same data.
PS# 867040 - DC: ASCII4 Regular Import with Preserve All/ Overwrite All not add "Producing Zone" in Strat Column Manager.</t>
  </si>
  <si>
    <t>PS# 867040 - DC: ASCII4 Regular Import with Preserve All/ Overwrite All not add "Producing Zone" in Strat Column Manager.</t>
  </si>
  <si>
    <t>PS# 864388 - DC - Import ASCII2/ASCII3/ASCII4 DST (Pipe Recovery/ Chamber Recover) and Core Analysis data is not append in most of the import scenarios.
TFS# 32746: DC- ASCII2/3/4 Import: The Bulk and Regular Import brings different TVD values in Formation, Faults and Survey Table for same data.</t>
  </si>
  <si>
    <t>PS# 867040 - DC: ASCII4 Regular Import with Preserve All/ Overwrite All not add "Producing Zone" in Strat Column Manager.
TFS# 32746: DC- ASCII2/3/4 Import: The Bulk and Regular Import brings different TVD values in Formation, Faults and Survey Table for same data.
PS# 865214 - DefCon ASCII2/ASCII3/ASCII4: Overwrite Remarks should append the remarks on 2nd line as mentioned in Online Help.</t>
  </si>
  <si>
    <t>PS# 864201 - WB - Fault manager: An UNKNOWN fault is appeared on creating a new project.
TFS# 32746: DC- ASCII2/3/4 Import: The Bulk and Regular Import brings different TVD values in Formation, Faults and Survey Table for same data.
PS# 864388 - DC - Import ASCII2/ASCII3/ASCII4 DST (Pipe Recovery/ Chamber Recover) and Core Analysis data is not append in most of the import scenarios.</t>
  </si>
  <si>
    <t>PS# 864201 - WB - Fault manager: An UNKNOWN fault is appeared on creating a new project.
TFS# 32746: DC- ASCII2/3/4 Import: The Bulk and Regular Import brings different TVD values in Formation, Faults and Survey Table for same data.</t>
  </si>
  <si>
    <t>PS# 864201 - WB - Fault manager: An UNKNOWN fault is appeared on creating a new project.
TFS# 32746: DC- ASCII2/3/4 Import: The Bulk and Regular Import brings different TVD values in Formation, Faults and Survey Table for same data.
PS# 864388 - DC - Import ASCII2/ASCII3/ASCII4 DST (Pipe Recovery/ Chamber Recover) and Core Analysis data is not append in most of the import scenarios</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</si>
  <si>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</si>
  <si>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
PS# 865214 - DefCon ASCII2/ASCII3/ASCII4: Overwrite Remarks should append the remarks on 2nd line as mentioned in Online Help.</t>
  </si>
  <si>
    <t>PS# 864201 - WB - Fault manager: An UNKNOWN fault is appeared on creating a new project.
PS# 864388 - DC - Import ASCII2/ASCII3/ASCII4 DST (Pipe Recovery/ Chamber Recover) and Core Analysis data is not append in most of the import scenarios</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</si>
  <si>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
PS# 862081 – DC : ASCII Import &gt;Data on BH TVD, BH N/S Offset, BH E/W Offset and CLOSURE field of Survey tab is not changed on import.</t>
  </si>
  <si>
    <t>PS# 864201 - WB - Fault manager: An UNKNOWN fault is appeared on creating a new project.
TFS# 32746: DC- ASCII2/3/4 Import: The Bulk and Regular Import brings different TVD values in Formation, Faults and Survey Table for same data.
PS# 865214 - DefCon ASCII2/ASCII3/ASCII4: Overwrite Remarks should append the remarks on 2nd line as mentioned in Online Help.
PS# 862081 – DC : ASCII Import &gt;Data on BH TVD, BH N/S Offset, BH E/W Offset and CLOSURE field of Survey tab is not changed on import.</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</si>
  <si>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
PS# 862081 – DC : ASCII Import &gt;Data on BH TVD, BH N/S Offset, BH E/W Offset and CLOSURE field of Survey tab is not changed on import.
PS# 865458 - Defcon ASCII4: MicroSeismic Event data is written during the import with Preserve All.</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</si>
  <si>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
PS# 862081 – DC : ASCII Import &gt;Data on BH TVD, BH N/S Offset, BH E/W Offset and CLOSURE field of Survey tab is not changed on import.
PS# 865458 - Defcon ASCII4: MicroSeismic Event data is written during the import with Preserve All.
PS# 865214 - DefCon ASCII2/ASCII3/ASCII4: Overwrite Remarks should append the remarks on 2nd line as mentioned in Online Help.</t>
  </si>
  <si>
    <t>PS# 864201 - WB - Fault manager: An UNKNOWN fault is appeared on creating a new project.
TFS# 32746: DC- ASCII2/3/4 Import: The Bulk and Regular Import brings different TVD values in Formation, Faults and Survey Table for same data.
TFS#18752 DefCon ASCII4: The new data is not appended for Plugging table
PS# 865458 - Defcon ASCII4: MicroSeismic Event data is written during the import with Preserve All.</t>
  </si>
  <si>
    <r>
      <t xml:space="preserve">PS# 864201 - WB - Fault manager: An UNKNOWN fault is appeared on creating a new project.
TFS# 32746: DC- ASCII2/3/4 Import: The Bulk and Regular Import brings different TVD values in Formation, Faults and Survey Table for same data.
PS# 865214 - DefCon ASCII2/ASCII3/ASCII4: Overwrite Remarks should append the remarks on 2nd line as mentioned in Online Help.
</t>
    </r>
    <r>
      <rPr>
        <sz val="10"/>
        <rFont val="Arial"/>
        <family val="2"/>
      </rPr>
      <t>PS# 865458 - Defcon ASCII4: MicroSeismic Event data is written during the import with Preserve All.
PS# 862081 – DC : ASCII Import &gt;Data on BH TVD, BH N/S Offset, BH E/W Offset and CLOSURE field of Survey tab is not changed on import.</t>
    </r>
  </si>
  <si>
    <t>PS# 864201 - WB - Fault manager: An UNKNOWN fault is appeared on creating a new project.
PS# 867040 - DC: ASCII4 Regular Import with Preserve All/ Overwrite All not add "Producing Zone" in Strat Column Manager.
TFS# 32746: DC- ASCII2/3/4 Import: The Bulk and Regular Import brings different TVD values in Formation, Faults and Survey Table for same data.
PS# 864388 - DC - Import ASCII2/ASCII3/ASCII4 DST (Pipe Recovery/ Chamber Recover) and Core Analysis data is not append in most of the import scenarios
PS# 865214 - DefCon ASCII2/ASCII3/ASCII4: Overwrite Remarks should append the remarks on 2nd line as mentioned in Online Help.
PS# 865458 - Defcon ASCII4: MicroSeismic Event data is written during the import with Preserve All.</t>
  </si>
  <si>
    <t>PS# 867040 - DC: ASCII4 Regular Import with Preserve All/ Overwrite All not add "Producing Zone" in Strat Column Manager.
PS# 864201 - WB - Fault manager: An UNKNOWN fault is appeared on creating a new project.
PS# 865214 - DefCon ASCII2/ASCII3/ASCII4: Overwrite Remarks should append the remarks on 2nd line as mentioned in Online Help.</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</si>
  <si>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t>
  </si>
  <si>
    <t>PS# 864201 - WB - Fault manager: An UNKNOWN fault is appeared on creating a new project.
PS# 864388 - DC - Import ASCII2/ASCII3/ASCII4 DST (Pipe Recovery/ Chamber Recover) and Core Analysis data is not append in most of the import scenarios.
TFS# 32746: DC- ASCII2/3/4 Import: The Bulk and Regular Import brings different TVD values in Formation, Faults and Survey Table for same data.
PS# 862081 – DC : ASCII Import &gt;Data on BH TVD, BH N/S Offset, BH E/W Offset and CLOSURE field of Survey tab is not changed on import.</t>
  </si>
  <si>
    <t>PS# 864201 - WB - Fault manager: An UNKNOWN fault is appeared on creating a new project.
TFS# 32746: DC- ASCII2/3/4 Import: The Bulk and Regular Import brings different TVD values in Formation, Faults and Survey Table for same data.
PS# 862081 – DC : ASCII Import &gt;Data on BH TVD, BH N/S Offset, BH E/W Offset and CLOSURE field of Survey tab is not changed on import.</t>
  </si>
  <si>
    <t>PS# 862081 – DC : ASCII Import &gt;Data on BH TVD, BH N/S Offset, BH E/W Offset and CLOSURE field of Survey tab is not changed on import.</t>
  </si>
  <si>
    <t>PS# 864201 - WB - Fault manager: An UNKNOWN fault is appeared on creating a new project.
TFS# 32746: DC- ASCII2/3/4 Import: The Bulk and Regular Import brings different TVD values in Formation, Faults and Survey Table for same data.
PS# 864388 - DC - Import ASCII2/ASCII3/ASCII4 DST (Pipe Recovery/ Chamber Recover) and Core Analysis data is not append in most of the import scenarios.
PS# 862081 – DC : ASCII Import &gt;Data on BH TVD, BH N/S Offset, BH E/W Offset and CLOSURE field of Survey tab is not changed on import.</t>
  </si>
  <si>
    <t>PS# 864201 - WB - Fault manager: An UNKNOWN fault is appeared on creating a new project.
TFS# 32746: DC- ASCII2/3/4 Import: The Bulk and Regular Import brings different TVD values in Formation, Faults and Survey Table for same data.
PS# 864388 - DC - Import ASCII2/ASCII3/ASCII4 DST (Pipe Recovery/ Chamber Recover) and Core Analysis data is not append in most of the import scenarios.
PS# 865458 - Defcon ASCII4: MicroSeismic Event data is written during the import with Preserve All.
PS# 862081 – DC : ASCII Import &gt;Data on BH TVD, BH N/S Offset, BH E/W Offset and CLOSURE field of Survey tab is not changed on import.</t>
  </si>
  <si>
    <t>TFS# 32746: DC- ASCII2/3/4 Import: The Bulk and Regular Import brings different TVD values in Formation, Faults and Survey Table for same data.
PS# 864201 - WB - Fault manager: An UNKNOWN fault is appeared on creating a new project.
PS# 867040 - DC: ASCII4 Regular Import with Preserve All/ Overwrite All not add "Producing Zone" in Strat Column Manager.</t>
  </si>
  <si>
    <t>TFS# 29230 - DefCon2 - Bulk import going unresponsive while importing wells through ASCII 2/3/4 and IHS 297/ 298 Imports</t>
  </si>
  <si>
    <t>TFS# 28895: DC: There is a weird behavior of Import when other connection to the data base over a Network project with 20+ users.
TFS# 29230 - DefCon2 - Bulk import going unresponsive while importing wells through ASCII 2/3/4 and IHS 297/ 298 Imports</t>
  </si>
  <si>
    <t>TFS# 29791: WB - Core tab - Allow larger number/decimals for field: "Youngs Modulus"</t>
  </si>
  <si>
    <r>
      <t xml:space="preserve">PS# 864201 - WB - Fault manager: An UNKNOWN fault is appeared on creating a new project.
</t>
    </r>
    <r>
      <rPr>
        <sz val="10"/>
        <color rgb="FF00B050"/>
        <rFont val="Arial"/>
        <family val="2"/>
      </rPr>
      <t>TFS# 29791: WB - Core tab - Allow larger number/decimals for field: "Youngs Modulus"</t>
    </r>
  </si>
  <si>
    <t>TFS #18254: DC - Import ASCII data failed with an error message DefconEng "Internal inconsistency error! Contact the GeoGraphix support team" displayed.</t>
  </si>
  <si>
    <t>TFS# 29230 - DefCon2 - Bulk import going unresponsive while importing wells through ASCII 2/3/4 and IHS 297/ 298 Imports
TFS #18254: DC - Import ASCII data failed with an error message DefconEng "Internal inconsistency error! Contact the GeoGraphix support team" displayed.</t>
  </si>
  <si>
    <t>TFS # 28019: DC: IHS 297 Import With Preserve All/ Overwrite All/ Define Setting: IP table is showing duplicate record after Import.
TFS #18254: DC - Import ASCII data failed with an error message DefconEng "Internal inconsistency error! Contact the GeoGraphix support team" displayed.</t>
  </si>
  <si>
    <t>TFS# 32976 - DC: Bulk Import Option: "All surveys are up to date" displayed while Performing batch survey calculation after using 'Bulk' Import selecting with "Donot Calculate" option.
PS# 860916 - WB: Data disppears from display on using Batch Survey Calculation Option</t>
  </si>
  <si>
    <t>TFS #28159: DC: IHS297 Import: using Bulk import twice after deleting data from first import in a same project will show the "Error updating DataBase".
TFS #18254: DC - Import ASCII data failed with an error message DefconEng "Internal inconsistency error! Contact the GeoGraphix support team¿" displayed.
TFS# 29230 - DefCon2 - Bulk import going unresponsive while importing wells through ASCII 2/3/4 and IHS 297/ 298 Imports</t>
  </si>
  <si>
    <t>TFS# 32858 - WB: (GXDB / DOW811): The record not commit while selecting in another field in DST Header, Core Header, Completion and Velocity Header tables.
TFS# 31231 - WB - User is unable to save the added data in tables (Fault, Casing, Liner, Monthly Production) using the Edit Status Bar.</t>
  </si>
  <si>
    <t>TFS# 26041 The status bar does not display correctly the position of Well ID after editing Well ID.</t>
  </si>
  <si>
    <t>TFS# 26918: WB: WB bar : Document Library Option: When Using "Add Doc" button, the attached document is not shown in WellBase layer under data attributes.</t>
  </si>
  <si>
    <t>TFS# 40672-WB - Well Number in Well Pad Slot table just displays 7 characters after importing data with ASCII4 format.</t>
  </si>
  <si>
    <t>TFS#31795 - WB - Slow performance (Almost 2 Minutes) on Selection Well ID in User Defined Field of Quick Filter Dialog box.
TFS #30522: WB (GXDB/DOW): Quick filter dialog. The Name drop down in the 'Scout Ticket' field is showing the Zone record while Zone dropdown is showing blank.</t>
  </si>
  <si>
    <t>TFS #30522: WB (GXDB/DOW): Quick filter dialog. The Name drop down in the 'Scout Ticket' field is showing the Zone record while Zone dropdown is showing blank.</t>
  </si>
  <si>
    <t>TFS# 19020 - WB - Tools Menu - Pad Designs, A new column POLYGONBLOB has been added to the Well Pads grid that needs to be hidden.</t>
  </si>
  <si>
    <t>TFS# 26901 - WB : Duplicate WSN value appear if user import ASCII4 file having same WSN number present in project.
TFS# 33292 - DC IHS 297 Import : Import data with 'Regular Import' option in a blank/non-blank Project does not Import the WSN field record.
TFS# 40266 - WB- Importing ASCII4 with "Perform Bulk Load Import" ON/OFF option gives different WSN
TFS# 40423 - WB - Importing ASCII2 and ASCII3 files in an empty Project gives different WSN</t>
  </si>
  <si>
    <t>PS# 842177 - WB - DOW - Cannot interact with Strat Column grid after creating a  Formation Alias then removing this Formation Alias</t>
  </si>
  <si>
    <t>PS #797533 - Edits to Header tab not retained when go to other tabs in the same well
PS #866967: WB-DOW(OW3.5) "Parent type" value "Surface" is not saved in newly created projected</t>
  </si>
  <si>
    <t>PS# 866967: WB-DOW(OW3.5) "Parent type" value "Surface" is not saved in newly created projected</t>
  </si>
  <si>
    <t>TFS# 31191: WB- (GXDB / DOW811): The Edit caption doesn't display the correct default name for "Core Type","Top Depth" and "User 1-25" fields after "Load Default"options.</t>
  </si>
  <si>
    <t>TFS # 27759: WB(GXDB/DOW): Formation table : When select 'Freeze Column' from context menu option and add a new record in core analysis table than WellBase syntax error appear.</t>
  </si>
  <si>
    <t>TFS# 27090: Lithology Column Under Core Analysis in WellBase Should be Populated Automatically.</t>
  </si>
  <si>
    <t>TFS# 28983: WB (DOW 8.0): Formation table: Message should appear when user try to add a formation record in a well while "Freeze Column" is selected.
TFS# 32431: WB - DOW 811 - : Sort ascending and descending functions do not work correctly on Top TVD and Top Subsea fields</t>
  </si>
  <si>
    <t>Step 10 &amp; 11 are skipped because of PS # 861786, this is an enhancement as Shafqat's email.Khanh.Do</t>
  </si>
  <si>
    <t xml:space="preserve">PS # 861786 PE Project Explorer is able to copy (make a duplicate) of an unactivated DOW project into the same project name.
</t>
  </si>
  <si>
    <r>
      <t>PS# 873921</t>
    </r>
    <r>
      <rPr>
        <sz val="11"/>
        <color rgb="FF00B050"/>
        <rFont val="Calibri"/>
        <family val="2"/>
      </rPr>
      <t xml:space="preserve"> WB-DOW: In scout view Header tab - State/Pro, county, water depth, Fm at TD and parent type fields changed.</t>
    </r>
  </si>
  <si>
    <r>
      <t xml:space="preserve">TFS# 26653 XS - regress Edit Cross Section window is no longer being automatically displayed.
</t>
    </r>
    <r>
      <rPr>
        <sz val="10"/>
        <color theme="1"/>
        <rFont val="Arial"/>
        <family val="2"/>
      </rPr>
      <t>TFS# 12894: WB DOW and gxdb - Zone page - create new zones, attributes in XS or ZM, have to close WB Info Mgr to see</t>
    </r>
  </si>
  <si>
    <t>TFS# 49556:GA-DOW - Wells-Add selected well to Database-On addding of new well to database GA throws an error message.</t>
  </si>
  <si>
    <t>TFS #27089 : QB: When applying filter with greater than / less than criteria on 'Well number', incorrect results are produced.
TFS #47126 : QB - Cannot query on Well Header # (Well number) field using most operators.</t>
  </si>
  <si>
    <t>CSV2_OW</t>
  </si>
  <si>
    <t>TFS# 28450 - test straight hole wells loaded as type logs</t>
  </si>
  <si>
    <t>TFS# 59296 : ZM - ZoneManager is crashed when editing crossplot layout
TFS# 59259 :ZM - ZoneManager prompts an error while closing</t>
  </si>
  <si>
    <t>TFS# 59299 : ZM - ZoneManager is crashed when loading zone data</t>
  </si>
  <si>
    <r>
      <t xml:space="preserve">TFS# 26653 XS - regress Edit Cross Section window is no longer being automatically displayed.
</t>
    </r>
    <r>
      <rPr>
        <sz val="10"/>
        <color rgb="FFFF0000"/>
        <rFont val="Arial"/>
        <family val="2"/>
      </rPr>
      <t>TFS# 59299 : ZM - ZoneManager is crashed when loading zone data</t>
    </r>
  </si>
  <si>
    <t>TFS# 59278 : PE - RecreateExtents log is not getting updated (for sample project) upon recreating project extents.</t>
  </si>
  <si>
    <r>
      <t xml:space="preserve">TFS #32180:D3D - Transparency slider does not move to correct value after entering valid values into textbox.
</t>
    </r>
    <r>
      <rPr>
        <sz val="10"/>
        <color rgb="FFFF0000"/>
        <rFont val="Arial"/>
        <family val="2"/>
      </rPr>
      <t>TFS #59363: D3D: Error appearing on displaying Wells and Black and white Isomap is displayed.</t>
    </r>
  </si>
  <si>
    <r>
      <t xml:space="preserve">TFS #30291: D3D - No Context Menu For smartSECTION surface on the 3D scene.
</t>
    </r>
    <r>
      <rPr>
        <sz val="10"/>
        <color rgb="FFFF0000"/>
        <rFont val="Arial"/>
        <family val="2"/>
      </rPr>
      <t>TFS #59363: D3D: Error appearing on displaying Wells and Black and white Isomap is displayed.</t>
    </r>
  </si>
  <si>
    <r>
      <rPr>
        <sz val="10"/>
        <color rgb="FF00B050"/>
        <rFont val="Arial"/>
        <family val="2"/>
      </rPr>
      <t>PS # 858591 WB:Edit Caption from field "Data date" from Header tab is not saved.</t>
    </r>
    <r>
      <rPr>
        <sz val="10"/>
        <rFont val="Arial"/>
        <family val="2"/>
      </rPr>
      <t xml:space="preserve">
PS # 873004 - DC ASCII2/3/4 or ISH 297/298 Import: The Error Message appears during Import and the import process is Stop.</t>
    </r>
  </si>
  <si>
    <r>
      <t xml:space="preserve">PS # 872042 "WB: Layer Create,  Check box  for field "Max Injection volume" in Production table is not checked."
</t>
    </r>
    <r>
      <rPr>
        <sz val="10"/>
        <color rgb="FF00B050"/>
        <rFont val="Arial"/>
        <family val="2"/>
      </rPr>
      <t xml:space="preserve">PS # 873004 - DC ASCII2/3/4 or ISH 297/298 Import: The Error Message appears during Import and the import process is Stop.
</t>
    </r>
    <r>
      <rPr>
        <sz val="10"/>
        <color rgb="FFFF0000"/>
        <rFont val="Arial"/>
        <family val="2"/>
      </rPr>
      <t>TFS# 59446: DefCon- Values under the South and East coordinates in projects extents displayed null values after using IHS297 import option.</t>
    </r>
  </si>
  <si>
    <r>
      <t xml:space="preserve">TFS #18254: DC - Import ASCII data failed with an error message DefconEng "Internal inconsistency error! Contact the GeoGraphix support team" displayed.
</t>
    </r>
    <r>
      <rPr>
        <sz val="10"/>
        <color rgb="FFFF0000"/>
        <rFont val="Arial"/>
        <family val="2"/>
      </rPr>
      <t>TFS# 59446: DefCon- Values under the South and East coordinates in projects extents displayed null values after using IHS297 import option.</t>
    </r>
  </si>
  <si>
    <t>Cert Suite</t>
  </si>
  <si>
    <t>Stability</t>
  </si>
  <si>
    <t>Owner</t>
  </si>
  <si>
    <t>Fail Type</t>
  </si>
  <si>
    <t>TA# Issues</t>
  </si>
  <si>
    <t>TA Issue</t>
  </si>
  <si>
    <t>AUT Build Change</t>
  </si>
  <si>
    <t>Timeout</t>
  </si>
  <si>
    <t>Hyper Links Import using Spread Sheet.</t>
  </si>
  <si>
    <t>TFS# 62208: sS - Surface contours do not display correctly on smartSECTION map view</t>
  </si>
  <si>
    <t>File Menu Workflow</t>
  </si>
  <si>
    <t>Remove</t>
  </si>
  <si>
    <t>Install</t>
  </si>
  <si>
    <t>Exit</t>
  </si>
  <si>
    <t>Save all data</t>
  </si>
  <si>
    <t>Calculate surveys on import workflow</t>
  </si>
  <si>
    <t>Certification Test workflow</t>
  </si>
  <si>
    <t>Custom Defcons</t>
  </si>
  <si>
    <t>Well Import Dialog Workflow</t>
  </si>
  <si>
    <t>Hyperlink overwrite option in ASCII 4 import.</t>
  </si>
  <si>
    <t>Trim Pad Well ID</t>
  </si>
  <si>
    <t>IHS298 - Regular Import with Preserve All</t>
  </si>
  <si>
    <t>IHS298 - Bulk Import into a Blank Project</t>
  </si>
  <si>
    <t>IHS298- Regular Import into a Blank Project</t>
  </si>
  <si>
    <t>IHS298- Bulk Import with Overwrite All</t>
  </si>
  <si>
    <t>IHS298 - Regular Import with Define Setting + Import New Data ON + Select All tables to overwrite</t>
  </si>
  <si>
    <t>IHS298 - Regular Import with Define Setting + Import New Data OFF + Select All tables to overwrite</t>
  </si>
  <si>
    <t>IHS297- Bulk Import in to Blank Project</t>
  </si>
  <si>
    <t>IHS297- Regular Import in to Blank Project</t>
  </si>
  <si>
    <t>IHS297- Bulk Import with Overwrite All</t>
  </si>
  <si>
    <t>IHS297 - Regular Import with Overwrite All</t>
  </si>
  <si>
    <t>IHS297 - Regular Import with Preserve All</t>
  </si>
  <si>
    <t>IHS297 - Bulk Import with Define Setting + Import New Data ON + Select All tables to overwrite</t>
  </si>
  <si>
    <t>IHS297 - Bulk Import with Define Setting + Import New Data OFF + Select All tables to overwrite</t>
  </si>
  <si>
    <t>IHS297 - Regular Import with Define Setting + Import New Data ON + Select All tables to overwrite</t>
  </si>
  <si>
    <t>IHS297 - Regular Import with Define Setting + Import New Data OFF + Select All tables to overwrite</t>
  </si>
  <si>
    <t>Import IHS298 Workflow</t>
  </si>
  <si>
    <t>Import IHS297 Workflow</t>
  </si>
  <si>
    <t>3. Importing of the ASCII4 file into the existing project after exporting.</t>
  </si>
  <si>
    <t>8. Importing of the ASCII4 file into a new project after exporting and using the aliased file.</t>
  </si>
  <si>
    <t>Bulk Update Aliases On Import workflow</t>
  </si>
  <si>
    <t>Import ASCII4</t>
  </si>
  <si>
    <t>Zone Data - Add new record</t>
  </si>
  <si>
    <t>Zone Data - Overwrite Existing Record</t>
  </si>
  <si>
    <t>Document Library Import-Export.</t>
  </si>
  <si>
    <t xml:space="preserve">Skipped this test case due to Kashif's email </t>
  </si>
  <si>
    <t>Skipped this test case following Kashif's require</t>
  </si>
  <si>
    <t>Last Updated Date</t>
  </si>
  <si>
    <t>TFS# 60810 WellBase - DOW 831- Error prompts on creating WellBase Layer with multiple fields selected from 'Formation' and 'Fault' tabel.
TFS# 64636: WellBase DOW831 - Production Table. Newly added record become disappeared when moving towards "Injection" field while adding it.</t>
  </si>
  <si>
    <t>Mode</t>
  </si>
  <si>
    <t>INTER</t>
  </si>
  <si>
    <r>
      <t xml:space="preserve">PS# 864388 - DC - Import ASCII2/ASCII3/ASCII4 DST (Pipe Recovery/ Chamber Recover) and Core Analysis data is not append in most of the import scenarios.
PS# 865458 - Defcon ASCII4: MicroSeismic Event data is written during the import with Preserve All.
PS# 865214 - DefCon ASCII2/ASCII3/ASCII4: Overwrite Remarks should append the remarks on 2nd line as mentioned in Online Help.
</t>
    </r>
    <r>
      <rPr>
        <sz val="10"/>
        <color rgb="FFFF0000"/>
        <rFont val="Arial"/>
        <family val="2"/>
      </rPr>
      <t>TFS# 65653: DefCon2 - Production data is not Imported using Regular Import</t>
    </r>
  </si>
  <si>
    <t>DefCon2 - Validate the import definition 'Name' for valid and invalid characters.</t>
  </si>
  <si>
    <r>
      <t xml:space="preserve">TFS# 30576: Prizm Log Template file no longer valid
</t>
    </r>
    <r>
      <rPr>
        <sz val="10"/>
        <color rgb="FFFF0000"/>
        <rFont val="Arial"/>
        <family val="2"/>
      </rPr>
      <t>TFS# 65712: sS - DOW - Wells from "Well Filters" cannot be added to the interpretation</t>
    </r>
  </si>
  <si>
    <t>TFS# 66112: DefCon2- An error displayed on using the " Install Import..."definition option.</t>
  </si>
  <si>
    <t>TFS# 66386 WellBase- Calculate Formation doesnot work correctly if multiple formations has been associated with the same TOP MD value.</t>
  </si>
  <si>
    <t>TFS# 67160: DefCon2 - The imported formation records do not have the aliased names as were present in the .csv file</t>
  </si>
  <si>
    <t>TFS# 64382: DefCon2- Using "Save As" option while creating a new gxi file throws an error.</t>
  </si>
  <si>
    <t>IHS297 - Bulk Import with Preserve All</t>
  </si>
  <si>
    <t>IHS297 - Bulk Import with Define Setting +  Import New Data ON + De-Select All tables to overwrite</t>
  </si>
  <si>
    <t>IHS297 - Bulk Import with Define Setting + Import New Data OFF + De-Select All tables to overwrite</t>
  </si>
  <si>
    <t>IHS297 - Regular Import with Define Setting + Import  New Data ON + De-Select All tables to overwrite</t>
  </si>
  <si>
    <t>IHS297 - Regular Import with Define Setting + Import New Data OFF + De-Select All tables to overwrite</t>
  </si>
  <si>
    <t>IHS 297- Import of Proposed Well information in (DA) records using IHS297 Import option.</t>
  </si>
  <si>
    <t>TFS# 73501: sS - On Saving cross section incorrect path appears in cross section Name text box</t>
  </si>
  <si>
    <t>Wellbase_OW Workflow</t>
  </si>
  <si>
    <t>Wellbase_OW Workflow 2</t>
  </si>
  <si>
    <t>Wellbase_OW Workflow 3</t>
  </si>
  <si>
    <t>Wellbase_OW Workflow 4</t>
  </si>
  <si>
    <t>Wellbase_OW Workflow 5</t>
  </si>
  <si>
    <t>Wellbase_OW Workflow 6</t>
  </si>
  <si>
    <t>Wellbase_OW Workflow 7</t>
  </si>
  <si>
    <t>Well Header Page_OW</t>
  </si>
  <si>
    <t>Core Page_OW</t>
  </si>
  <si>
    <t>Formation Page_OW</t>
  </si>
  <si>
    <r>
      <rPr>
        <sz val="10"/>
        <color indexed="10"/>
        <rFont val="Arial"/>
        <family val="2"/>
      </rPr>
      <t>TFS# 47534: WB - DOW - Formation order by Age Code does not working correctly.</t>
    </r>
    <r>
      <rPr>
        <sz val="10"/>
        <color indexed="8"/>
        <rFont val="Arial"/>
        <family val="2"/>
      </rPr>
      <t xml:space="preserve">
TFS# 30098: WB-When select Application formation order by "Age Code" then the formation order shown as reverse in the Formation Dropdown  in Layer create.</t>
    </r>
    <r>
      <rPr>
        <sz val="10"/>
        <color indexed="10"/>
        <rFont val="Arial"/>
        <family val="2"/>
      </rPr>
      <t/>
    </r>
  </si>
  <si>
    <r>
      <t xml:space="preserve">- Skip adding data on Core tab because PS# 875020 "WB-DOW: application crashes, with OW R5000.8.0, if we just click on "Core" tab from WellBase."
</t>
    </r>
    <r>
      <rPr>
        <sz val="10"/>
        <color rgb="FFFF0000"/>
        <rFont val="Arial"/>
        <family val="2"/>
      </rPr>
      <t xml:space="preserve">
TFS# 63134 "WellBase-After utilizing "Calculate Formation" option user needs to refresh the relevant table to display the calculated formation name."</t>
    </r>
  </si>
  <si>
    <r>
      <t xml:space="preserve">PS# 858591 WB:Edit Caption from field "Data date" from Header tab is not saved.
PS# 787626 - WB - Production - DOW - Edit Caption doesn't work for fields Date, Oil, Water and Gas in the Monthly Production grid
PS# 864373 - WB -DOW : Unable to select "Source" field/record in core analysis table from Core tab.
PS# 866858: WB-DOW(OW3.5): Caption change for "Formation" field in completion tab is not appear in LC
</t>
    </r>
    <r>
      <rPr>
        <sz val="10"/>
        <color indexed="17"/>
        <rFont val="Arial"/>
        <family val="2"/>
      </rPr>
      <t>TFS# 50624: WB - DOW 8.3.01 - Edit Captions for "Formation" and "Fault" tabs do not display in Layer Create window.#REGRESSION#
PS# 873921 WB-DOW: In scout view Header tab - State/Pro, county, water depth, Fm at TD and parent type fields changed.</t>
    </r>
  </si>
  <si>
    <r>
      <t xml:space="preserve">PS# 873921 WB-DOW: In scout view Header tab - State/Pro, county, water depth, Fm at TD and parent type fields changed.
PS# 875020 "WB-DOW: application crashes, with OW R5000.8.0, if we just click on "Core" tab from WellBase."
</t>
    </r>
    <r>
      <rPr>
        <sz val="10"/>
        <color theme="1"/>
        <rFont val="Arial"/>
        <family val="2"/>
      </rPr>
      <t>TFS# 18160:WB-DOW: Data date/User date are updating as client scrolls through wells without edits.
TFS# 18754:WB-DOW(OW3.5): "Parent type" value "Surface" is not saved in newly created project.
TFS# 30505:WB (DOW 8.0): User is not allow to add record in 'Unit' field in DST 'Pipe Recovery' and 'Chamber Recovery' table.
TFS# 31592:WB - DOW 811 - In Survey table the "Minimum Curvature" method is not shown as a default "Calculation Method" and selected method will not save after commit.
TFS# 32797:WB - DOW 811 - Edit Lease Name in Well Header tab is not committing by pressing edit status tool bar.
TFS# 32858:WB- (GXDB / DOW811): The record not commit while selecting in another field in DST Header, Core Header, Completion and Velocity Header tables.
TFS# 40886:WB- DOW 811- In Survey Header user defined date cannot be saved in "Date" field.</t>
    </r>
  </si>
  <si>
    <r>
      <rPr>
        <sz val="10"/>
        <color rgb="FF00B050"/>
        <rFont val="Arial"/>
        <family val="2"/>
      </rPr>
      <t>PS# 873921 WB-DOW: In scout view Header tab - State/Pro, county, water depth, Fm at TD and parent type fields changed.
PS# 875020 "WB-DOW: application crashes, with OW R5000.8.0, if we just click on "Core" tab from WellBase."</t>
    </r>
    <r>
      <rPr>
        <sz val="10"/>
        <color theme="1"/>
        <rFont val="Arial"/>
        <family val="2"/>
      </rPr>
      <t xml:space="preserve">
TFS#32785 - WB- DOW 811 - An error dialog prompts when editing all fields of Plug table at once.
</t>
    </r>
  </si>
  <si>
    <r>
      <rPr>
        <sz val="10"/>
        <color rgb="FF00B050"/>
        <rFont val="Arial"/>
        <family val="2"/>
      </rPr>
      <t>PS# 873921 WB-DOW: In scout view Header tab - State/Pro, county, water depth, Fm at TD and parent type fields changed.</t>
    </r>
    <r>
      <rPr>
        <sz val="10"/>
        <color theme="1"/>
        <rFont val="Arial"/>
        <family val="2"/>
      </rPr>
      <t xml:space="preserve">
PS# 797533 - Edits to Header tab not retained when go to other tabs in the same well.
PS# 866967: WB-DOW(OW3.5) "Parent type" value "Surface" is not saved in newly created projected
PS# 865052: WB DOW(OW3.5): In Header tab, if we try to input texts in the numeric fields "Ground elve, Plugback depth, water depth, on commit these fields displayed 0.00 instead of null.
PS# 864210 WB-DOW: field "Parent well ID" from header tab, user unable to commit any value and give error message.</t>
    </r>
  </si>
  <si>
    <r>
      <t xml:space="preserve">PS# 866967: WB-DOW(OW3.5) "Parent type" value "Surface" is not saved in newly created projected
PS# 797533 - Edits to Header tab not retained when go to other tabs in the same well.
</t>
    </r>
    <r>
      <rPr>
        <sz val="10"/>
        <color rgb="FF00B050"/>
        <rFont val="Arial"/>
        <family val="2"/>
      </rPr>
      <t>PS# 873921 WB-DOW: In scout view Header tab - State/Pro, county, water depth, Fm at TD and parent type fields changed.</t>
    </r>
  </si>
  <si>
    <r>
      <t xml:space="preserve">PS # 861407 WB-DOW: Data date/User date are updating as client scrolls through wells without edits.
PS# 866967: WB-DOW(OW3.5) "Parent type" value "Surface" is not saved in newly created projected
</t>
    </r>
    <r>
      <rPr>
        <sz val="10"/>
        <color rgb="FF00B050"/>
        <rFont val="Arial"/>
        <family val="2"/>
      </rPr>
      <t>PS# 873921 WB-DOW: In scout view Header tab - State/Pro, county, water depth, Fm at TD and parent type fields changed.</t>
    </r>
  </si>
  <si>
    <r>
      <rPr>
        <sz val="10"/>
        <color rgb="FF00B050"/>
        <rFont val="Arial"/>
        <family val="2"/>
      </rPr>
      <t xml:space="preserve">PS 758699 WB – Project gives 308 error on third manual edit </t>
    </r>
    <r>
      <rPr>
        <sz val="10"/>
        <color theme="1"/>
        <rFont val="Arial"/>
        <family val="2"/>
      </rPr>
      <t xml:space="preserve">
</t>
    </r>
    <r>
      <rPr>
        <sz val="10"/>
        <color rgb="FF00B050"/>
        <rFont val="Arial"/>
        <family val="2"/>
      </rPr>
      <t>PS# 873921 WB-DOW: In scout view Header tab - State/Pro, county, water depth, Fm at TD and parent type fields changed.</t>
    </r>
    <r>
      <rPr>
        <sz val="10"/>
        <color theme="1"/>
        <rFont val="Arial"/>
        <family val="2"/>
      </rPr>
      <t xml:space="preserve">
</t>
    </r>
  </si>
  <si>
    <r>
      <t xml:space="preserve">TFS# 50624: WB - DOW 8.3.01 - Edit Captions for "Formation" and "Fault" tabs do not display in Layer Create window.#REGRESSION#
</t>
    </r>
    <r>
      <rPr>
        <sz val="10"/>
        <color indexed="10"/>
        <rFont val="Arial"/>
        <family val="2"/>
      </rPr>
      <t>TFS# 51753: WB - DOW 8.3.01 - Name of Formations &amp; Faults table does not display correctly in Map Tin Bin list of “WellBase Layer Create” dialog</t>
    </r>
  </si>
  <si>
    <t>PE Workflow 1_OW</t>
  </si>
  <si>
    <t>PE Workflow 2_OW</t>
  </si>
  <si>
    <t>PE Workflow 3_OW</t>
  </si>
  <si>
    <t>QueryBuilder_OW Workflow</t>
  </si>
  <si>
    <t>QueryBuilder_OW Workflow 2</t>
  </si>
  <si>
    <t>QueryBuilder_OW Workflow 3</t>
  </si>
  <si>
    <t>MMV_one_OW</t>
  </si>
  <si>
    <t>MMV_two_OW</t>
  </si>
  <si>
    <t>Discovery_OW Workflow</t>
  </si>
  <si>
    <t>ZoneManger_OW without Interpretation</t>
  </si>
  <si>
    <t>ZoneManger_OW with Interpretation</t>
  </si>
  <si>
    <t>Add New Test Cases</t>
  </si>
  <si>
    <t>Manage Current Test Cases</t>
  </si>
  <si>
    <t>Tu Tran</t>
  </si>
  <si>
    <t>https://tfs.lmkr.net/tfs/DefaultCollection/LMKR/_workitems/edit/</t>
  </si>
  <si>
    <t>Outside Bug Tool Link</t>
  </si>
  <si>
    <t>Table_1</t>
  </si>
  <si>
    <t>Table_2</t>
  </si>
  <si>
    <t>Table_3</t>
  </si>
  <si>
    <t>Table_4</t>
  </si>
  <si>
    <t>Table_5</t>
  </si>
  <si>
    <t>Table_6</t>
  </si>
  <si>
    <t>Table_7</t>
  </si>
  <si>
    <t>Additional Libraries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</si>
</sst>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mmmm\ d\,\ yyyy;@"/>
  </numFmts>
  <fonts count="42" x14ac:knownFonts="1">
    <font>
      <sz val="11"/>
      <color theme="1"/>
      <name val="Calibri"/>
      <family val="2"/>
      <scheme val="minor"/>
    </font>
    <font>
      <u/>
      <sz val="11"/>
      <color theme="10"/>
      <name val="Calibri"/>
      <family val="2"/>
    </font>
    <font>
      <b/>
      <sz val="11"/>
      <color theme="1"/>
      <name val="Calibri"/>
      <family val="2"/>
      <scheme val="minor"/>
    </font>
    <font>
      <sz val="11"/>
      <color theme="0"/>
      <name val="Calibri"/>
      <family val="2"/>
      <scheme val="minor"/>
    </font>
    <font>
      <b/>
      <sz val="16"/>
      <color theme="1"/>
      <name val="Calibri"/>
      <family val="2"/>
      <scheme val="minor"/>
    </font>
    <font>
      <b/>
      <sz val="14"/>
      <color rgb="FFFF0000"/>
      <name val="Calibri"/>
      <family val="2"/>
      <scheme val="minor"/>
    </font>
    <font>
      <b/>
      <sz val="11"/>
      <color theme="1"/>
      <name val="Calibri"/>
      <family val="2"/>
      <scheme val="minor"/>
    </font>
    <font>
      <sz val="10"/>
      <name val="Arial"/>
      <family val="2"/>
    </font>
    <font>
      <b/>
      <sz val="10"/>
      <name val="Arial"/>
      <family val="2"/>
    </font>
    <font>
      <u/>
      <sz val="10"/>
      <color indexed="12"/>
      <name val="Arial"/>
      <family val="2"/>
    </font>
    <font>
      <sz val="11"/>
      <color theme="1"/>
      <name val="Arial"/>
      <family val="2"/>
    </font>
    <font>
      <b/>
      <sz val="11"/>
      <color theme="1"/>
      <name val="Arial"/>
      <family val="2"/>
    </font>
    <font>
      <u/>
      <sz val="12"/>
      <color theme="0"/>
      <name val="Arial"/>
      <family val="2"/>
    </font>
    <font>
      <sz val="12"/>
      <color theme="1"/>
      <name val="Arial"/>
      <family val="2"/>
    </font>
    <font>
      <sz val="10"/>
      <color theme="1"/>
      <name val="Arial"/>
      <family val="2"/>
    </font>
    <font>
      <b/>
      <sz val="10"/>
      <color theme="1"/>
      <name val="Arial"/>
      <family val="2"/>
    </font>
    <font>
      <b/>
      <sz val="18"/>
      <name val="Arial"/>
      <family val="2"/>
    </font>
    <font>
      <b/>
      <u/>
      <sz val="12"/>
      <color theme="1"/>
      <name val="Arial"/>
      <family val="2"/>
    </font>
    <font>
      <b/>
      <u/>
      <sz val="12"/>
      <name val="Arial"/>
      <family val="2"/>
    </font>
    <font>
      <sz val="10"/>
      <color rgb="FF000000"/>
      <name val="Arial"/>
      <family val="2"/>
    </font>
    <font>
      <sz val="11"/>
      <color theme="1"/>
      <name val="Calibri"/>
      <family val="2"/>
      <scheme val="minor"/>
    </font>
    <font>
      <sz val="10"/>
      <color theme="1"/>
      <name val="Arial"/>
      <family val="2"/>
    </font>
    <font>
      <b/>
      <sz val="10"/>
      <color theme="1"/>
      <name val="Arial"/>
      <family val="2"/>
    </font>
    <font>
      <b/>
      <sz val="11"/>
      <color theme="1"/>
      <name val="Arial"/>
      <family val="2"/>
    </font>
    <font>
      <sz val="11"/>
      <color indexed="8"/>
      <name val="Calibri"/>
      <family val="2"/>
    </font>
    <font>
      <sz val="11"/>
      <name val="Calibri"/>
      <family val="2"/>
    </font>
    <font>
      <sz val="10"/>
      <color indexed="8"/>
      <name val="Arial"/>
      <family val="2"/>
    </font>
    <font>
      <sz val="12"/>
      <name val="Times New Roman"/>
      <family val="1"/>
    </font>
    <font>
      <sz val="10"/>
      <color indexed="10"/>
      <name val="Arial"/>
      <family val="2"/>
    </font>
    <font>
      <sz val="11"/>
      <color rgb="FF00B050"/>
      <name val="Calibri"/>
      <family val="2"/>
      <scheme val="minor"/>
    </font>
    <font>
      <sz val="10"/>
      <color indexed="8"/>
      <name val="Arial"/>
      <family val="2"/>
    </font>
    <font>
      <sz val="10"/>
      <color theme="1"/>
      <name val="Arial"/>
      <family val="2"/>
    </font>
    <font>
      <sz val="16"/>
      <color theme="0"/>
      <name val="Arial"/>
      <family val="2"/>
    </font>
    <font>
      <u/>
      <sz val="10"/>
      <color theme="10"/>
      <name val="Arial"/>
      <family val="2"/>
    </font>
    <font>
      <sz val="16"/>
      <color theme="1"/>
      <name val="Arial"/>
      <family val="2"/>
    </font>
    <font>
      <sz val="10"/>
      <color indexed="17"/>
      <name val="Arial"/>
      <family val="2"/>
    </font>
    <font>
      <sz val="10"/>
      <color rgb="FFFF0000"/>
      <name val="Arial"/>
      <family val="2"/>
    </font>
    <font>
      <sz val="10"/>
      <color rgb="FF00B050"/>
      <name val="Arial"/>
      <family val="2"/>
    </font>
    <font>
      <sz val="11"/>
      <color rgb="FF00B050"/>
      <name val="Calibri"/>
      <family val="2"/>
    </font>
    <font>
      <sz val="10"/>
      <name val="Arial"/>
      <family val="2"/>
    </font>
    <font>
      <b/>
      <sz val="28"/>
      <color theme="0"/>
      <name val="Arial"/>
      <family val="2"/>
    </font>
    <font>
      <b/>
      <i/>
      <sz val="12"/>
      <color theme="1"/>
      <name val="Calibri"/>
      <family val="2"/>
      <scheme val="minor"/>
    </font>
  </fonts>
  <fills count="10">
    <fill>
      <patternFill patternType="none"/>
    </fill>
    <fill>
      <patternFill patternType="gray125"/>
    </fill>
    <fill>
      <patternFill patternType="solid">
        <fgColor theme="4"/>
      </patternFill>
    </fill>
    <fill>
      <patternFill patternType="solid">
        <fgColor rgb="FF00B050"/>
        <bgColor indexed="64"/>
      </patternFill>
    </fill>
    <fill>
      <patternFill patternType="solid">
        <fgColor indexed="55"/>
        <bgColor indexed="64"/>
      </patternFill>
    </fill>
    <fill>
      <patternFill patternType="solid">
        <fgColor theme="0"/>
        <bgColor indexed="64"/>
      </patternFill>
    </fill>
    <fill>
      <patternFill patternType="solid">
        <fgColor rgb="FFFFFFFF"/>
        <bgColor indexed="64"/>
      </patternFill>
    </fill>
    <fill>
      <patternFill patternType="solid">
        <fgColor indexed="9"/>
        <bgColor indexed="64"/>
      </patternFill>
    </fill>
    <fill>
      <patternFill patternType="solid">
        <fgColor theme="1"/>
        <bgColor indexed="64"/>
      </patternFill>
    </fill>
    <fill>
      <patternFill patternType="solid">
        <fgColor rgb="FFFFFF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bottom/>
      <diagonal/>
    </border>
    <border diagonalUp="1" diagonalDown="1">
      <left style="thin">
        <color rgb="FF000000"/>
      </left>
      <right style="thin">
        <color rgb="FF000000"/>
      </right>
      <top style="thin">
        <color rgb="FF000000"/>
      </top>
      <bottom style="thin">
        <color rgb="FF000000"/>
      </bottom>
      <diagonal style="thin">
        <color rgb="FFD2EFFF"/>
      </diagonal>
    </border>
    <border>
      <left/>
      <right/>
      <top style="thin">
        <color indexed="64"/>
      </top>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right style="thin">
        <color rgb="FF000000"/>
      </right>
      <top style="thin">
        <color indexed="64"/>
      </top>
      <bottom/>
      <diagonal/>
    </border>
    <border>
      <left style="thin">
        <color rgb="FF000000"/>
      </left>
      <right style="thin">
        <color indexed="64"/>
      </right>
      <top/>
      <bottom style="thin">
        <color indexed="64"/>
      </bottom>
      <diagonal/>
    </border>
    <border>
      <left style="thin">
        <color rgb="FF000000"/>
      </left>
      <right style="thin">
        <color indexed="64"/>
      </right>
      <top style="thin">
        <color indexed="64"/>
      </top>
      <bottom/>
      <diagonal/>
    </border>
    <border>
      <left style="thin">
        <color indexed="64"/>
      </left>
      <right/>
      <top/>
      <bottom style="thin">
        <color indexed="64"/>
      </bottom>
      <diagonal/>
    </border>
  </borders>
  <cellStyleXfs count="10">
    <xf numFmtId="0" fontId="0" fillId="0" borderId="0"/>
    <xf numFmtId="0" fontId="1" fillId="0" borderId="0" applyNumberFormat="0" applyFill="0" applyBorder="0" applyAlignment="0" applyProtection="0">
      <alignment vertical="top"/>
      <protection locked="0"/>
    </xf>
    <xf numFmtId="0" fontId="3" fillId="2" borderId="0" applyNumberFormat="0" applyBorder="0" applyAlignment="0" applyProtection="0"/>
    <xf numFmtId="0" fontId="7" fillId="0" borderId="0"/>
    <xf numFmtId="0" fontId="7" fillId="0" borderId="0"/>
    <xf numFmtId="0" fontId="7" fillId="0" borderId="0"/>
    <xf numFmtId="0" fontId="7" fillId="0" borderId="0"/>
    <xf numFmtId="0" fontId="20" fillId="0" borderId="0"/>
    <xf numFmtId="0" fontId="20" fillId="0" borderId="13"/>
    <xf numFmtId="0" fontId="20" fillId="0" borderId="5"/>
  </cellStyleXfs>
  <cellXfs count="276">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0" fontId="2"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6" fillId="0" borderId="0" xfId="0" applyFont="1" applyFill="1" applyBorder="1" applyAlignment="1">
      <alignment horizontal="left" vertical="center" wrapText="1"/>
    </xf>
    <xf numFmtId="165" fontId="6" fillId="0" borderId="0" xfId="0" applyNumberFormat="1" applyFont="1" applyFill="1" applyBorder="1" applyAlignment="1">
      <alignment horizontal="left" vertical="center" wrapText="1"/>
    </xf>
    <xf numFmtId="164" fontId="6" fillId="0" borderId="0" xfId="0" applyNumberFormat="1" applyFont="1" applyFill="1" applyBorder="1" applyAlignment="1">
      <alignment horizontal="left" vertical="center" wrapText="1"/>
    </xf>
    <xf numFmtId="0" fontId="1" fillId="0" borderId="0" xfId="1" applyFill="1" applyBorder="1" applyAlignment="1" applyProtection="1">
      <alignment horizontal="center" vertical="center"/>
    </xf>
    <xf numFmtId="0" fontId="8" fillId="4" borderId="1" xfId="0" applyFont="1" applyFill="1" applyBorder="1" applyAlignment="1">
      <alignment vertical="center"/>
    </xf>
    <xf numFmtId="0" fontId="8" fillId="4" borderId="1" xfId="0" applyFont="1" applyFill="1" applyBorder="1" applyAlignment="1">
      <alignment vertical="center" wrapText="1"/>
    </xf>
    <xf numFmtId="0" fontId="9" fillId="0" borderId="1" xfId="1" applyFont="1" applyBorder="1" applyAlignment="1" applyProtection="1">
      <alignment horizontal="center" vertical="center"/>
    </xf>
    <xf numFmtId="0" fontId="7" fillId="0" borderId="1" xfId="0" applyFont="1" applyFill="1" applyBorder="1" applyAlignment="1">
      <alignment vertical="center"/>
    </xf>
    <xf numFmtId="0" fontId="0" fillId="0" borderId="0" xfId="0" applyAlignment="1">
      <alignment horizontal="center" vertical="center" wrapText="1"/>
    </xf>
    <xf numFmtId="0" fontId="8" fillId="4" borderId="1" xfId="0" applyFont="1" applyFill="1" applyBorder="1" applyAlignment="1">
      <alignment horizontal="left" vertical="center"/>
    </xf>
    <xf numFmtId="0" fontId="0" fillId="0" borderId="0" xfId="0" applyFill="1" applyBorder="1" applyAlignment="1">
      <alignment vertical="center"/>
    </xf>
    <xf numFmtId="14" fontId="7" fillId="0" borderId="1" xfId="0" applyNumberFormat="1" applyFont="1" applyBorder="1" applyAlignment="1">
      <alignment horizontal="center" vertical="center" wrapText="1"/>
    </xf>
    <xf numFmtId="0" fontId="7" fillId="0" borderId="1" xfId="0" applyFont="1" applyFill="1" applyBorder="1" applyAlignment="1">
      <alignment vertical="center" wrapText="1"/>
    </xf>
    <xf numFmtId="0" fontId="12" fillId="3" borderId="6" xfId="0" applyFont="1" applyFill="1" applyBorder="1" applyAlignment="1">
      <alignment horizontal="center" vertical="center" wrapText="1"/>
    </xf>
    <xf numFmtId="0" fontId="12" fillId="3" borderId="6" xfId="2" applyFont="1" applyFill="1" applyBorder="1" applyAlignment="1">
      <alignment horizontal="center" vertical="center" wrapText="1"/>
    </xf>
    <xf numFmtId="165" fontId="12" fillId="3" borderId="6" xfId="2" applyNumberFormat="1" applyFont="1" applyFill="1" applyBorder="1" applyAlignment="1">
      <alignment horizontal="center" vertical="center" wrapText="1"/>
    </xf>
    <xf numFmtId="164" fontId="12" fillId="3" borderId="6" xfId="2" applyNumberFormat="1" applyFont="1" applyFill="1" applyBorder="1" applyAlignment="1">
      <alignment horizontal="center" vertical="center" wrapText="1"/>
    </xf>
    <xf numFmtId="0" fontId="13" fillId="0" borderId="0" xfId="0" applyFont="1" applyAlignment="1">
      <alignment vertical="center"/>
    </xf>
    <xf numFmtId="0" fontId="7" fillId="0" borderId="1" xfId="0" applyFont="1" applyFill="1" applyBorder="1"/>
    <xf numFmtId="0" fontId="7" fillId="0" borderId="0" xfId="0" applyFont="1" applyFill="1"/>
    <xf numFmtId="0" fontId="7" fillId="0" borderId="1" xfId="0" applyFont="1" applyBorder="1" applyAlignment="1">
      <alignment horizontal="left" vertical="center" wrapText="1"/>
    </xf>
    <xf numFmtId="0" fontId="0" fillId="0" borderId="0" xfId="0" applyFill="1" applyBorder="1"/>
    <xf numFmtId="14" fontId="7" fillId="0" borderId="1" xfId="0" applyNumberFormat="1" applyFont="1" applyFill="1" applyBorder="1" applyAlignment="1">
      <alignment horizontal="center" vertical="center" wrapText="1"/>
    </xf>
    <xf numFmtId="14" fontId="7" fillId="0" borderId="1" xfId="0" applyNumberFormat="1" applyFont="1" applyFill="1" applyBorder="1" applyAlignment="1">
      <alignment horizontal="left" vertical="center" wrapText="1"/>
    </xf>
    <xf numFmtId="0" fontId="7" fillId="0" borderId="0" xfId="0" applyFont="1" applyFill="1" applyBorder="1" applyAlignment="1">
      <alignment horizontal="left"/>
    </xf>
    <xf numFmtId="0" fontId="11" fillId="0" borderId="1" xfId="0" applyFont="1" applyFill="1" applyBorder="1" applyAlignment="1">
      <alignment horizontal="left" vertical="center" wrapText="1"/>
    </xf>
    <xf numFmtId="0" fontId="11" fillId="0" borderId="1" xfId="0" applyFont="1" applyFill="1" applyBorder="1" applyAlignment="1">
      <alignment horizontal="center" vertical="center" wrapText="1"/>
    </xf>
    <xf numFmtId="165" fontId="11" fillId="0" borderId="1" xfId="0" applyNumberFormat="1" applyFont="1" applyFill="1" applyBorder="1" applyAlignment="1">
      <alignment horizontal="left" vertical="center" wrapText="1"/>
    </xf>
    <xf numFmtId="164" fontId="11" fillId="0" borderId="1" xfId="0" applyNumberFormat="1" applyFont="1" applyFill="1" applyBorder="1" applyAlignment="1">
      <alignment horizontal="left" vertical="center" wrapText="1"/>
    </xf>
    <xf numFmtId="49" fontId="7" fillId="0" borderId="1" xfId="0" applyNumberFormat="1" applyFont="1" applyBorder="1" applyAlignment="1">
      <alignment horizontal="center" vertical="center" wrapText="1"/>
    </xf>
    <xf numFmtId="0" fontId="0" fillId="0" borderId="1" xfId="0" applyFill="1" applyBorder="1"/>
    <xf numFmtId="0" fontId="7" fillId="0" borderId="1" xfId="0" applyFont="1" applyFill="1" applyBorder="1" applyAlignment="1">
      <alignment horizontal="left"/>
    </xf>
    <xf numFmtId="0" fontId="14" fillId="0" borderId="1" xfId="0" applyFont="1" applyFill="1" applyBorder="1" applyAlignment="1">
      <alignment vertical="center"/>
    </xf>
    <xf numFmtId="14" fontId="14" fillId="0" borderId="1" xfId="0" applyNumberFormat="1" applyFont="1" applyBorder="1" applyAlignment="1">
      <alignment horizontal="center" vertical="center" wrapText="1"/>
    </xf>
    <xf numFmtId="0" fontId="15" fillId="0" borderId="1" xfId="0" applyFont="1" applyFill="1" applyBorder="1" applyAlignment="1">
      <alignment horizontal="left" vertical="center" wrapText="1"/>
    </xf>
    <xf numFmtId="14" fontId="14" fillId="0" borderId="1" xfId="0" applyNumberFormat="1" applyFont="1" applyBorder="1" applyAlignment="1">
      <alignment horizontal="left" vertical="center" wrapText="1"/>
    </xf>
    <xf numFmtId="0" fontId="14" fillId="0" borderId="1" xfId="0" applyFont="1" applyBorder="1" applyAlignment="1">
      <alignment vertical="center" wrapText="1"/>
    </xf>
    <xf numFmtId="0" fontId="14" fillId="0" borderId="1" xfId="0" applyFont="1" applyFill="1" applyBorder="1" applyAlignment="1">
      <alignment vertical="center" wrapText="1"/>
    </xf>
    <xf numFmtId="0" fontId="14" fillId="5" borderId="1" xfId="0" applyFont="1" applyFill="1" applyBorder="1" applyAlignment="1">
      <alignment wrapText="1"/>
    </xf>
    <xf numFmtId="0" fontId="14" fillId="0" borderId="1" xfId="0" applyFont="1" applyFill="1" applyBorder="1"/>
    <xf numFmtId="0" fontId="14" fillId="0" borderId="1"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0" xfId="0" applyFont="1" applyFill="1" applyBorder="1"/>
    <xf numFmtId="0" fontId="16" fillId="0" borderId="1" xfId="0" applyFont="1" applyBorder="1" applyAlignment="1">
      <alignment horizontal="center" vertical="center"/>
    </xf>
    <xf numFmtId="0" fontId="7" fillId="0" borderId="1" xfId="0" applyFont="1" applyFill="1" applyBorder="1" applyAlignment="1">
      <alignment wrapText="1"/>
    </xf>
    <xf numFmtId="0" fontId="7" fillId="0" borderId="1" xfId="0" applyFont="1" applyBorder="1" applyAlignment="1">
      <alignment wrapText="1"/>
    </xf>
    <xf numFmtId="0" fontId="13" fillId="0" borderId="0" xfId="0" applyFont="1" applyBorder="1" applyAlignment="1">
      <alignment vertical="center"/>
    </xf>
    <xf numFmtId="0" fontId="8" fillId="4" borderId="6" xfId="0" applyFont="1" applyFill="1" applyBorder="1" applyAlignment="1">
      <alignment vertical="center"/>
    </xf>
    <xf numFmtId="0" fontId="8" fillId="4" borderId="0" xfId="0" applyFont="1" applyFill="1" applyAlignment="1">
      <alignment vertical="center"/>
    </xf>
    <xf numFmtId="0" fontId="7" fillId="0" borderId="0" xfId="0" applyFont="1" applyFill="1" applyAlignment="1">
      <alignment vertical="center"/>
    </xf>
    <xf numFmtId="0" fontId="7" fillId="0" borderId="0" xfId="0" applyFont="1" applyFill="1" applyAlignment="1">
      <alignment vertical="center" wrapText="1"/>
    </xf>
    <xf numFmtId="0" fontId="7" fillId="0" borderId="1" xfId="0" applyFont="1" applyBorder="1"/>
    <xf numFmtId="14" fontId="7" fillId="0" borderId="7" xfId="0" applyNumberFormat="1" applyFont="1" applyBorder="1" applyAlignment="1">
      <alignment horizontal="center" vertical="center" wrapText="1"/>
    </xf>
    <xf numFmtId="0" fontId="7" fillId="0" borderId="1" xfId="0" applyFont="1" applyBorder="1" applyAlignment="1">
      <alignment vertical="center"/>
    </xf>
    <xf numFmtId="0" fontId="7" fillId="0" borderId="1" xfId="0" quotePrefix="1" applyFont="1" applyFill="1" applyBorder="1" applyAlignment="1">
      <alignment vertical="center" wrapText="1"/>
    </xf>
    <xf numFmtId="0" fontId="7" fillId="0" borderId="1" xfId="0" applyNumberFormat="1" applyFont="1" applyFill="1" applyBorder="1" applyAlignment="1">
      <alignment vertical="center" wrapText="1"/>
    </xf>
    <xf numFmtId="0" fontId="7" fillId="0" borderId="1" xfId="0" applyNumberFormat="1" applyFont="1" applyBorder="1" applyAlignment="1">
      <alignment vertical="center" wrapText="1"/>
    </xf>
    <xf numFmtId="0" fontId="7" fillId="0" borderId="1" xfId="0" quotePrefix="1" applyNumberFormat="1" applyFont="1" applyBorder="1" applyAlignment="1">
      <alignment wrapText="1"/>
    </xf>
    <xf numFmtId="0" fontId="7" fillId="0" borderId="1" xfId="0" quotePrefix="1" applyFont="1" applyBorder="1" applyAlignment="1">
      <alignment wrapText="1"/>
    </xf>
    <xf numFmtId="0" fontId="7" fillId="0" borderId="7" xfId="0" applyFont="1" applyFill="1" applyBorder="1"/>
    <xf numFmtId="0" fontId="7" fillId="0" borderId="0" xfId="0" applyFont="1"/>
    <xf numFmtId="0" fontId="8" fillId="4" borderId="3" xfId="0" applyFont="1" applyFill="1" applyBorder="1" applyAlignment="1">
      <alignment vertical="center"/>
    </xf>
    <xf numFmtId="0" fontId="7" fillId="0" borderId="3" xfId="0" applyFont="1" applyBorder="1"/>
    <xf numFmtId="0" fontId="19" fillId="0" borderId="1" xfId="0" applyFont="1" applyBorder="1" applyAlignment="1">
      <alignment wrapText="1"/>
    </xf>
    <xf numFmtId="0" fontId="7" fillId="0" borderId="1" xfId="5" applyFont="1" applyBorder="1" applyAlignment="1">
      <alignment wrapText="1"/>
    </xf>
    <xf numFmtId="0" fontId="19" fillId="0" borderId="6" xfId="0" applyFont="1" applyBorder="1" applyAlignment="1">
      <alignment wrapText="1"/>
    </xf>
    <xf numFmtId="49" fontId="7" fillId="0" borderId="1" xfId="5" applyNumberFormat="1" applyFont="1" applyBorder="1" applyAlignment="1">
      <alignment wrapText="1"/>
    </xf>
    <xf numFmtId="0" fontId="19" fillId="0" borderId="7" xfId="0" applyFont="1" applyBorder="1" applyAlignment="1">
      <alignment wrapText="1"/>
    </xf>
    <xf numFmtId="0" fontId="7" fillId="0" borderId="1" xfId="0" applyFont="1" applyFill="1" applyBorder="1" applyAlignment="1">
      <alignment horizontal="center"/>
    </xf>
    <xf numFmtId="0" fontId="16" fillId="0" borderId="1" xfId="0" applyFont="1" applyBorder="1" applyAlignment="1">
      <alignment horizontal="center" vertical="center" wrapText="1"/>
    </xf>
    <xf numFmtId="0" fontId="22" fillId="0" borderId="1" xfId="0" applyFont="1" applyFill="1" applyBorder="1" applyAlignment="1">
      <alignment horizontal="left" vertical="center" wrapText="1"/>
    </xf>
    <xf numFmtId="0" fontId="23" fillId="0" borderId="1" xfId="0" applyFont="1" applyFill="1" applyBorder="1" applyAlignment="1">
      <alignment horizontal="center" vertical="center" wrapText="1"/>
    </xf>
    <xf numFmtId="165" fontId="23" fillId="0" borderId="1" xfId="0" applyNumberFormat="1" applyFont="1" applyFill="1" applyBorder="1" applyAlignment="1">
      <alignment horizontal="left" vertical="center" wrapText="1"/>
    </xf>
    <xf numFmtId="0" fontId="0" fillId="0" borderId="1" xfId="0" applyBorder="1" applyAlignment="1">
      <alignment wrapText="1"/>
    </xf>
    <xf numFmtId="14" fontId="0" fillId="0" borderId="1" xfId="0" applyNumberFormat="1" applyBorder="1" applyAlignment="1">
      <alignment horizontal="center" vertical="center" wrapText="1"/>
    </xf>
    <xf numFmtId="0" fontId="24" fillId="0" borderId="1" xfId="0" applyFont="1" applyBorder="1" applyAlignment="1">
      <alignment horizontal="center" vertical="center"/>
    </xf>
    <xf numFmtId="0" fontId="0" fillId="0" borderId="1" xfId="0" applyBorder="1"/>
    <xf numFmtId="14" fontId="0" fillId="0" borderId="1" xfId="0" quotePrefix="1" applyNumberFormat="1" applyBorder="1" applyAlignment="1">
      <alignment horizontal="left" vertical="center" wrapText="1"/>
    </xf>
    <xf numFmtId="0" fontId="21" fillId="0" borderId="1" xfId="0" applyFont="1" applyFill="1" applyBorder="1" applyAlignment="1">
      <alignment horizontal="center" vertical="center" wrapText="1"/>
    </xf>
    <xf numFmtId="14" fontId="0" fillId="0" borderId="7" xfId="0" applyNumberFormat="1" applyBorder="1" applyAlignment="1">
      <alignment horizontal="center" vertical="center" wrapText="1"/>
    </xf>
    <xf numFmtId="0" fontId="24" fillId="0" borderId="3" xfId="0" applyFont="1" applyBorder="1" applyAlignment="1">
      <alignment horizontal="center" vertical="center"/>
    </xf>
    <xf numFmtId="0" fontId="0" fillId="0" borderId="7" xfId="0" applyBorder="1"/>
    <xf numFmtId="14" fontId="0" fillId="0" borderId="7" xfId="0" quotePrefix="1" applyNumberFormat="1" applyBorder="1" applyAlignment="1">
      <alignment horizontal="left" vertical="center" wrapText="1"/>
    </xf>
    <xf numFmtId="14" fontId="0" fillId="0" borderId="1" xfId="0" applyNumberFormat="1" applyFill="1" applyBorder="1" applyAlignment="1">
      <alignment horizontal="center" vertical="center" wrapText="1"/>
    </xf>
    <xf numFmtId="0" fontId="24" fillId="0" borderId="1" xfId="0" applyFont="1" applyFill="1" applyBorder="1" applyAlignment="1">
      <alignment horizontal="left" vertical="center" wrapText="1"/>
    </xf>
    <xf numFmtId="0" fontId="8" fillId="4" borderId="0" xfId="0" applyFont="1" applyFill="1" applyBorder="1" applyAlignment="1">
      <alignment vertical="center"/>
    </xf>
    <xf numFmtId="0" fontId="0" fillId="0" borderId="1" xfId="0" applyFill="1" applyBorder="1" applyAlignment="1">
      <alignment vertical="center" wrapText="1"/>
    </xf>
    <xf numFmtId="0" fontId="0" fillId="0" borderId="1" xfId="0" applyFill="1" applyBorder="1" applyAlignment="1">
      <alignment wrapText="1"/>
    </xf>
    <xf numFmtId="0" fontId="9" fillId="0" borderId="6" xfId="1" applyFont="1" applyBorder="1" applyAlignment="1" applyProtection="1">
      <alignment horizontal="center" vertical="center"/>
    </xf>
    <xf numFmtId="0" fontId="0" fillId="0" borderId="1" xfId="0" applyBorder="1" applyAlignment="1">
      <alignment horizontal="center"/>
    </xf>
    <xf numFmtId="0" fontId="7" fillId="0" borderId="3" xfId="0" applyFont="1" applyFill="1" applyBorder="1"/>
    <xf numFmtId="0" fontId="4" fillId="0" borderId="0" xfId="0" applyNumberFormat="1" applyFont="1" applyFill="1" applyBorder="1" applyAlignment="1">
      <alignment vertical="center"/>
    </xf>
    <xf numFmtId="0" fontId="5" fillId="0" borderId="0" xfId="0" applyNumberFormat="1" applyFont="1" applyFill="1" applyBorder="1" applyAlignment="1">
      <alignment vertical="center" wrapText="1"/>
    </xf>
    <xf numFmtId="14" fontId="0" fillId="0" borderId="1" xfId="0" applyNumberFormat="1" applyFill="1" applyBorder="1" applyAlignment="1">
      <alignment horizontal="left" vertical="center" wrapText="1"/>
    </xf>
    <xf numFmtId="0" fontId="26" fillId="7" borderId="1" xfId="0" applyFont="1" applyFill="1" applyBorder="1" applyAlignment="1">
      <alignment wrapText="1"/>
    </xf>
    <xf numFmtId="0" fontId="7" fillId="5" borderId="1" xfId="0" applyFont="1" applyFill="1" applyBorder="1" applyAlignment="1">
      <alignment horizontal="left" vertical="center" wrapText="1"/>
    </xf>
    <xf numFmtId="0" fontId="7" fillId="0" borderId="1" xfId="0" applyFont="1" applyBorder="1" applyAlignment="1">
      <alignment vertical="center" wrapText="1"/>
    </xf>
    <xf numFmtId="0" fontId="26" fillId="0" borderId="1" xfId="0" applyFont="1" applyFill="1" applyBorder="1" applyAlignment="1">
      <alignment wrapText="1"/>
    </xf>
    <xf numFmtId="0" fontId="26" fillId="0" borderId="1" xfId="0" applyFont="1" applyFill="1" applyBorder="1" applyAlignment="1">
      <alignment vertical="center" wrapText="1"/>
    </xf>
    <xf numFmtId="0" fontId="0" fillId="0" borderId="1" xfId="0" quotePrefix="1" applyFill="1" applyBorder="1" applyAlignment="1">
      <alignment wrapText="1"/>
    </xf>
    <xf numFmtId="0" fontId="7" fillId="0" borderId="1" xfId="0" applyFont="1" applyFill="1" applyBorder="1" applyAlignment="1">
      <alignment horizontal="center" vertical="center" wrapText="1"/>
    </xf>
    <xf numFmtId="0" fontId="7" fillId="0" borderId="1" xfId="0" quotePrefix="1" applyFont="1" applyBorder="1"/>
    <xf numFmtId="0" fontId="25" fillId="0" borderId="1" xfId="0" applyFont="1" applyBorder="1" applyAlignment="1">
      <alignment vertical="top" wrapText="1"/>
    </xf>
    <xf numFmtId="0" fontId="15" fillId="4" borderId="1" xfId="0" applyFont="1" applyFill="1" applyBorder="1" applyAlignment="1">
      <alignment horizontal="center" vertical="center" wrapText="1"/>
    </xf>
    <xf numFmtId="0" fontId="7" fillId="0" borderId="1" xfId="0" applyFont="1" applyBorder="1" applyAlignment="1">
      <alignment horizontal="center" wrapText="1"/>
    </xf>
    <xf numFmtId="0" fontId="8" fillId="4" borderId="1" xfId="0" applyFont="1" applyFill="1" applyBorder="1" applyAlignment="1">
      <alignment horizontal="center" vertical="center"/>
    </xf>
    <xf numFmtId="0" fontId="7" fillId="0" borderId="1" xfId="0" applyFont="1" applyBorder="1" applyAlignment="1">
      <alignment horizontal="left" vertical="center"/>
    </xf>
    <xf numFmtId="0" fontId="0" fillId="0" borderId="1" xfId="0" applyFont="1" applyBorder="1" applyAlignment="1">
      <alignment vertical="center"/>
    </xf>
    <xf numFmtId="0" fontId="0" fillId="0" borderId="1" xfId="0" applyBorder="1" applyAlignment="1">
      <alignment horizontal="left" vertical="center"/>
    </xf>
    <xf numFmtId="0" fontId="30" fillId="0" borderId="1" xfId="0" applyFont="1" applyFill="1" applyBorder="1" applyAlignment="1">
      <alignment horizontal="center" vertical="center"/>
    </xf>
    <xf numFmtId="14" fontId="21" fillId="0" borderId="1" xfId="0" applyNumberFormat="1" applyFont="1" applyFill="1" applyBorder="1" applyAlignment="1">
      <alignment horizontal="center" vertical="center" wrapText="1"/>
    </xf>
    <xf numFmtId="0" fontId="0" fillId="0" borderId="0" xfId="0" applyBorder="1" applyAlignment="1">
      <alignment horizontal="center" vertical="center"/>
    </xf>
    <xf numFmtId="0" fontId="7" fillId="0" borderId="0" xfId="0" applyFont="1" applyFill="1" applyBorder="1" applyAlignment="1">
      <alignment horizontal="center" vertical="center" wrapText="1"/>
    </xf>
    <xf numFmtId="46" fontId="8" fillId="4" borderId="1" xfId="0" applyNumberFormat="1" applyFont="1" applyFill="1" applyBorder="1" applyAlignment="1">
      <alignment horizontal="center" vertical="center"/>
    </xf>
    <xf numFmtId="46" fontId="7" fillId="0" borderId="1" xfId="0" applyNumberFormat="1" applyFont="1" applyFill="1" applyBorder="1" applyAlignment="1">
      <alignment horizontal="center" vertical="center"/>
    </xf>
    <xf numFmtId="0" fontId="31" fillId="0" borderId="1"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0" fillId="0" borderId="0" xfId="0" applyFill="1" applyBorder="1" applyAlignment="1">
      <alignment horizontal="center" vertical="center"/>
    </xf>
    <xf numFmtId="46" fontId="11" fillId="0" borderId="0" xfId="0" applyNumberFormat="1" applyFont="1" applyFill="1" applyBorder="1" applyAlignment="1">
      <alignment horizontal="center" vertical="center" wrapText="1"/>
    </xf>
    <xf numFmtId="0" fontId="1" fillId="0" borderId="1" xfId="1" applyFill="1" applyBorder="1" applyAlignment="1" applyProtection="1">
      <alignment horizontal="center" vertical="center" wrapText="1"/>
    </xf>
    <xf numFmtId="0" fontId="32" fillId="0" borderId="0" xfId="0" applyFont="1" applyFill="1" applyBorder="1" applyAlignment="1">
      <alignment horizontal="center" vertical="center" wrapText="1"/>
    </xf>
    <xf numFmtId="0" fontId="7" fillId="0" borderId="0" xfId="0" applyNumberFormat="1" applyFont="1" applyFill="1" applyBorder="1" applyAlignment="1">
      <alignment horizontal="center" vertical="center" wrapText="1"/>
    </xf>
    <xf numFmtId="165" fontId="11" fillId="0" borderId="1" xfId="0" applyNumberFormat="1" applyFont="1" applyFill="1" applyBorder="1" applyAlignment="1">
      <alignment horizontal="center" vertical="center" wrapText="1"/>
    </xf>
    <xf numFmtId="0" fontId="1" fillId="0" borderId="1" xfId="1" applyBorder="1" applyAlignment="1" applyProtection="1">
      <alignment horizontal="center" vertical="center"/>
    </xf>
    <xf numFmtId="0" fontId="34" fillId="0" borderId="0" xfId="0" applyFont="1" applyFill="1" applyBorder="1" applyAlignment="1">
      <alignment horizontal="center" vertical="center" wrapText="1"/>
    </xf>
    <xf numFmtId="0" fontId="1" fillId="0" borderId="1" xfId="1" applyFill="1" applyBorder="1" applyAlignment="1" applyProtection="1">
      <alignment horizontal="center" vertical="center"/>
    </xf>
    <xf numFmtId="14" fontId="37" fillId="0" borderId="1" xfId="0" applyNumberFormat="1" applyFont="1" applyFill="1" applyBorder="1" applyAlignment="1">
      <alignment horizontal="left" vertical="center" wrapText="1"/>
    </xf>
    <xf numFmtId="0" fontId="37" fillId="0" borderId="1" xfId="0" applyFont="1" applyBorder="1" applyAlignment="1">
      <alignment vertical="center" wrapText="1"/>
    </xf>
    <xf numFmtId="14" fontId="37" fillId="0" borderId="2" xfId="0" applyNumberFormat="1" applyFont="1" applyBorder="1" applyAlignment="1">
      <alignment horizontal="left" vertical="center" wrapText="1"/>
    </xf>
    <xf numFmtId="0" fontId="37" fillId="0" borderId="1" xfId="0" applyFont="1" applyFill="1" applyBorder="1" applyAlignment="1">
      <alignment vertical="center" wrapText="1"/>
    </xf>
    <xf numFmtId="0" fontId="29" fillId="0" borderId="1" xfId="0" applyFont="1" applyBorder="1" applyAlignment="1">
      <alignment vertical="top" wrapText="1"/>
    </xf>
    <xf numFmtId="0" fontId="37" fillId="0" borderId="1" xfId="0" applyFont="1" applyFill="1" applyBorder="1" applyAlignment="1">
      <alignment wrapText="1"/>
    </xf>
    <xf numFmtId="14" fontId="14" fillId="0" borderId="3" xfId="0" applyNumberFormat="1" applyFont="1" applyFill="1" applyBorder="1" applyAlignment="1">
      <alignment horizontal="left" vertical="center" wrapText="1"/>
    </xf>
    <xf numFmtId="0" fontId="7" fillId="0" borderId="3" xfId="0" applyFont="1" applyFill="1" applyBorder="1" applyAlignment="1">
      <alignment vertical="center" wrapText="1"/>
    </xf>
    <xf numFmtId="0" fontId="37" fillId="0" borderId="1" xfId="0" applyFont="1" applyBorder="1" applyAlignment="1">
      <alignment wrapText="1"/>
    </xf>
    <xf numFmtId="14" fontId="37" fillId="0" borderId="1" xfId="0" applyNumberFormat="1" applyFont="1" applyBorder="1" applyAlignment="1">
      <alignment horizontal="left" vertical="center" wrapText="1"/>
    </xf>
    <xf numFmtId="14" fontId="36" fillId="0" borderId="1" xfId="0" applyNumberFormat="1" applyFont="1" applyFill="1" applyBorder="1" applyAlignment="1">
      <alignment horizontal="center" vertical="center" wrapText="1"/>
    </xf>
    <xf numFmtId="14" fontId="36" fillId="0" borderId="1" xfId="0" applyNumberFormat="1" applyFont="1" applyFill="1" applyBorder="1" applyAlignment="1">
      <alignment horizontal="left" vertical="center" wrapText="1"/>
    </xf>
    <xf numFmtId="0" fontId="7" fillId="0" borderId="1" xfId="0" applyNumberFormat="1" applyFont="1" applyFill="1" applyBorder="1" applyAlignment="1">
      <alignment wrapText="1"/>
    </xf>
    <xf numFmtId="0" fontId="26" fillId="0" borderId="1" xfId="0" applyFont="1" applyFill="1" applyBorder="1" applyAlignment="1">
      <alignment horizontal="left" vertical="center" wrapText="1"/>
    </xf>
    <xf numFmtId="0" fontId="37" fillId="6" borderId="1" xfId="0" applyFont="1" applyFill="1" applyBorder="1" applyAlignment="1">
      <alignment horizontal="left" vertical="center" wrapText="1"/>
    </xf>
    <xf numFmtId="0" fontId="37" fillId="0" borderId="1" xfId="0" applyNumberFormat="1" applyFont="1" applyBorder="1" applyAlignment="1">
      <alignment vertical="center" wrapText="1"/>
    </xf>
    <xf numFmtId="0" fontId="37" fillId="0" borderId="1" xfId="0" applyNumberFormat="1" applyFont="1" applyBorder="1" applyAlignment="1">
      <alignment wrapText="1"/>
    </xf>
    <xf numFmtId="0" fontId="37" fillId="0" borderId="1" xfId="0" applyFont="1" applyFill="1" applyBorder="1" applyAlignment="1">
      <alignment horizontal="left" vertical="center" wrapText="1"/>
    </xf>
    <xf numFmtId="0" fontId="14" fillId="5" borderId="1" xfId="0" applyFont="1" applyFill="1" applyBorder="1" applyAlignment="1">
      <alignment horizontal="left" wrapText="1"/>
    </xf>
    <xf numFmtId="14" fontId="7" fillId="0" borderId="3" xfId="0" applyNumberFormat="1" applyFont="1" applyFill="1" applyBorder="1" applyAlignment="1">
      <alignment horizontal="left" vertical="center" wrapText="1"/>
    </xf>
    <xf numFmtId="0" fontId="7" fillId="0" borderId="3" xfId="0" applyFont="1" applyBorder="1" applyAlignment="1">
      <alignment wrapText="1"/>
    </xf>
    <xf numFmtId="0" fontId="7" fillId="0" borderId="3" xfId="0" applyFont="1" applyBorder="1" applyAlignment="1">
      <alignment vertical="center" wrapText="1"/>
    </xf>
    <xf numFmtId="14" fontId="29" fillId="0" borderId="10" xfId="0" applyNumberFormat="1" applyFont="1" applyBorder="1" applyAlignment="1">
      <alignment horizontal="center" vertical="center" wrapText="1"/>
    </xf>
    <xf numFmtId="14" fontId="36" fillId="0" borderId="3" xfId="0" applyNumberFormat="1" applyFont="1" applyBorder="1" applyAlignment="1">
      <alignment horizontal="left" vertical="center" wrapText="1"/>
    </xf>
    <xf numFmtId="0" fontId="36" fillId="0" borderId="3" xfId="0" applyFont="1" applyBorder="1" applyAlignment="1">
      <alignment wrapText="1"/>
    </xf>
    <xf numFmtId="46" fontId="8" fillId="0" borderId="1" xfId="0" applyNumberFormat="1" applyFont="1" applyFill="1" applyBorder="1" applyAlignment="1">
      <alignment horizontal="center" vertical="center"/>
    </xf>
    <xf numFmtId="46" fontId="19" fillId="0" borderId="1" xfId="0" applyNumberFormat="1" applyFont="1" applyBorder="1" applyAlignment="1">
      <alignment wrapText="1"/>
    </xf>
    <xf numFmtId="46" fontId="8" fillId="4" borderId="6" xfId="0" applyNumberFormat="1" applyFont="1" applyFill="1" applyBorder="1" applyAlignment="1">
      <alignment horizontal="center" vertical="center"/>
    </xf>
    <xf numFmtId="46" fontId="8" fillId="4" borderId="0" xfId="0" applyNumberFormat="1" applyFont="1" applyFill="1" applyBorder="1" applyAlignment="1">
      <alignment horizontal="center" vertical="center"/>
    </xf>
    <xf numFmtId="46" fontId="8" fillId="4" borderId="7" xfId="0" applyNumberFormat="1" applyFont="1" applyFill="1" applyBorder="1" applyAlignment="1">
      <alignment horizontal="center" vertical="center"/>
    </xf>
    <xf numFmtId="46" fontId="34" fillId="0" borderId="0" xfId="0" applyNumberFormat="1" applyFont="1" applyFill="1" applyBorder="1" applyAlignment="1">
      <alignment horizontal="center" vertical="center" wrapText="1"/>
    </xf>
    <xf numFmtId="0" fontId="0" fillId="0" borderId="9" xfId="0" applyBorder="1" applyAlignment="1">
      <alignment horizontal="center"/>
    </xf>
    <xf numFmtId="0" fontId="0" fillId="0" borderId="11" xfId="0" applyBorder="1" applyAlignment="1">
      <alignment horizontal="center"/>
    </xf>
    <xf numFmtId="0" fontId="0" fillId="0" borderId="14" xfId="0" applyBorder="1" applyAlignment="1">
      <alignment horizontal="center"/>
    </xf>
    <xf numFmtId="0" fontId="0" fillId="0" borderId="9" xfId="0" applyBorder="1" applyAlignment="1">
      <alignment horizontal="center" vertical="center"/>
    </xf>
    <xf numFmtId="0" fontId="7" fillId="0" borderId="11" xfId="0" applyFont="1" applyFill="1" applyBorder="1" applyAlignment="1">
      <alignment horizontal="center"/>
    </xf>
    <xf numFmtId="0" fontId="7" fillId="0" borderId="14" xfId="0" applyFont="1" applyFill="1" applyBorder="1" applyAlignment="1">
      <alignment horizontal="center"/>
    </xf>
    <xf numFmtId="0" fontId="19" fillId="0" borderId="1" xfId="0" applyFont="1" applyBorder="1" applyAlignment="1">
      <alignment vertical="center" wrapText="1"/>
    </xf>
    <xf numFmtId="0" fontId="33" fillId="0" borderId="1" xfId="1" applyFont="1" applyBorder="1" applyAlignment="1" applyProtection="1">
      <alignment horizontal="center" vertical="center"/>
    </xf>
    <xf numFmtId="0" fontId="1" fillId="0" borderId="1" xfId="1" applyBorder="1" applyAlignment="1" applyProtection="1">
      <alignment vertical="center" wrapText="1"/>
    </xf>
    <xf numFmtId="0" fontId="36" fillId="0" borderId="1" xfId="0" applyFont="1" applyFill="1" applyBorder="1" applyAlignment="1">
      <alignment horizontal="center" vertical="center" wrapText="1"/>
    </xf>
    <xf numFmtId="14" fontId="0" fillId="0" borderId="1" xfId="0" applyNumberFormat="1" applyFont="1" applyFill="1" applyBorder="1" applyAlignment="1">
      <alignment horizontal="center" vertical="center" wrapText="1"/>
    </xf>
    <xf numFmtId="0" fontId="36" fillId="0" borderId="1" xfId="0" applyFont="1" applyFill="1" applyBorder="1" applyAlignment="1">
      <alignment horizontal="left" vertical="center" wrapText="1"/>
    </xf>
    <xf numFmtId="14" fontId="8" fillId="4" borderId="1" xfId="0" applyNumberFormat="1" applyFont="1" applyFill="1" applyBorder="1" applyAlignment="1">
      <alignment vertical="center"/>
    </xf>
    <xf numFmtId="164" fontId="11" fillId="0" borderId="1" xfId="0" applyNumberFormat="1" applyFont="1" applyFill="1" applyBorder="1" applyAlignment="1">
      <alignment horizontal="center" vertical="center" wrapText="1"/>
    </xf>
    <xf numFmtId="14" fontId="14" fillId="0" borderId="1" xfId="0" applyNumberFormat="1" applyFont="1" applyFill="1" applyBorder="1" applyAlignment="1">
      <alignment horizontal="center" vertical="center" wrapText="1"/>
    </xf>
    <xf numFmtId="14" fontId="37" fillId="0" borderId="1" xfId="0" applyNumberFormat="1" applyFont="1" applyFill="1" applyBorder="1" applyAlignment="1">
      <alignment horizontal="center" vertical="center" wrapText="1"/>
    </xf>
    <xf numFmtId="46" fontId="0" fillId="0" borderId="0" xfId="0" applyNumberFormat="1" applyBorder="1" applyAlignment="1">
      <alignment horizontal="center" vertical="center"/>
    </xf>
    <xf numFmtId="165" fontId="0" fillId="0" borderId="0" xfId="0" applyNumberFormat="1" applyBorder="1" applyAlignment="1">
      <alignment horizontal="center" vertical="center"/>
    </xf>
    <xf numFmtId="0" fontId="0" fillId="0" borderId="0" xfId="0" applyBorder="1" applyAlignment="1">
      <alignment horizontal="center" vertical="center" wrapText="1"/>
    </xf>
    <xf numFmtId="0" fontId="8" fillId="4" borderId="15" xfId="0" applyFont="1" applyFill="1" applyBorder="1" applyAlignment="1">
      <alignment horizontal="center" vertical="center"/>
    </xf>
    <xf numFmtId="0" fontId="8" fillId="4" borderId="16" xfId="0" applyFont="1" applyFill="1" applyBorder="1" applyAlignment="1">
      <alignment vertical="center"/>
    </xf>
    <xf numFmtId="0" fontId="1" fillId="0" borderId="15" xfId="1" applyFont="1" applyBorder="1" applyAlignment="1" applyProtection="1">
      <alignment horizontal="center" vertical="center"/>
    </xf>
    <xf numFmtId="14" fontId="0" fillId="0" borderId="1" xfId="0" applyNumberFormat="1" applyFont="1" applyBorder="1" applyAlignment="1">
      <alignment horizontal="center" vertical="center" wrapText="1"/>
    </xf>
    <xf numFmtId="14" fontId="0" fillId="0" borderId="7" xfId="0" applyNumberFormat="1" applyFont="1" applyBorder="1" applyAlignment="1">
      <alignment horizontal="center" vertical="center" wrapText="1"/>
    </xf>
    <xf numFmtId="14" fontId="10" fillId="0" borderId="17" xfId="0" applyNumberFormat="1" applyFont="1" applyBorder="1" applyAlignment="1">
      <alignment horizontal="center" vertical="center" wrapText="1"/>
    </xf>
    <xf numFmtId="0" fontId="14" fillId="0" borderId="1" xfId="0" applyFont="1" applyFill="1" applyBorder="1" applyAlignment="1">
      <alignment horizontal="center" vertical="center" wrapText="1"/>
    </xf>
    <xf numFmtId="14" fontId="10" fillId="0" borderId="16" xfId="0" applyNumberFormat="1" applyFont="1" applyBorder="1" applyAlignment="1">
      <alignment horizontal="center" vertical="center" wrapText="1"/>
    </xf>
    <xf numFmtId="14" fontId="14" fillId="0" borderId="16" xfId="0" applyNumberFormat="1" applyFont="1" applyFill="1" applyBorder="1" applyAlignment="1">
      <alignment horizontal="center" vertical="center" wrapText="1"/>
    </xf>
    <xf numFmtId="14" fontId="0" fillId="0" borderId="10" xfId="0" applyNumberFormat="1" applyFont="1" applyBorder="1" applyAlignment="1">
      <alignment horizontal="center" vertical="center" wrapText="1"/>
    </xf>
    <xf numFmtId="0" fontId="0" fillId="0" borderId="1" xfId="0" applyFont="1" applyFill="1" applyBorder="1" applyAlignment="1">
      <alignment vertical="center" wrapText="1"/>
    </xf>
    <xf numFmtId="14" fontId="0" fillId="0" borderId="3" xfId="0" applyNumberFormat="1" applyFont="1" applyBorder="1" applyAlignment="1">
      <alignment horizontal="center" vertical="center" wrapText="1"/>
    </xf>
    <xf numFmtId="0" fontId="14" fillId="0" borderId="3" xfId="0" applyFont="1" applyFill="1" applyBorder="1" applyAlignment="1">
      <alignment horizontal="center" vertical="center" wrapText="1"/>
    </xf>
    <xf numFmtId="0" fontId="0" fillId="0" borderId="1" xfId="0" applyFont="1" applyFill="1" applyBorder="1" applyAlignment="1">
      <alignment vertical="center"/>
    </xf>
    <xf numFmtId="0" fontId="1" fillId="0" borderId="18" xfId="1" applyFont="1" applyBorder="1" applyAlignment="1" applyProtection="1">
      <alignment horizontal="center" vertical="center"/>
    </xf>
    <xf numFmtId="0" fontId="0" fillId="0" borderId="19" xfId="0" applyFont="1" applyFill="1" applyBorder="1" applyAlignment="1">
      <alignment vertical="center"/>
    </xf>
    <xf numFmtId="14" fontId="7" fillId="0" borderId="19" xfId="0" applyNumberFormat="1" applyFont="1" applyBorder="1" applyAlignment="1">
      <alignment horizontal="center" vertical="center" wrapText="1"/>
    </xf>
    <xf numFmtId="46" fontId="7" fillId="0" borderId="19" xfId="0" applyNumberFormat="1" applyFont="1" applyFill="1" applyBorder="1" applyAlignment="1">
      <alignment horizontal="center" vertical="center"/>
    </xf>
    <xf numFmtId="0" fontId="24" fillId="0" borderId="20" xfId="0"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19" xfId="0" applyNumberFormat="1" applyFont="1" applyBorder="1" applyAlignment="1">
      <alignment horizontal="center" vertical="center" wrapText="1"/>
    </xf>
    <xf numFmtId="165" fontId="11" fillId="0" borderId="19" xfId="0" applyNumberFormat="1" applyFont="1" applyFill="1" applyBorder="1" applyAlignment="1">
      <alignment horizontal="left" vertical="center" wrapText="1"/>
    </xf>
    <xf numFmtId="14" fontId="10" fillId="0" borderId="21" xfId="0" applyNumberFormat="1" applyFont="1" applyBorder="1" applyAlignment="1">
      <alignment horizontal="center" vertical="center" wrapText="1"/>
    </xf>
    <xf numFmtId="0" fontId="8" fillId="4" borderId="15" xfId="0" applyFont="1" applyFill="1" applyBorder="1" applyAlignment="1">
      <alignment vertical="center"/>
    </xf>
    <xf numFmtId="0" fontId="9" fillId="0" borderId="15" xfId="1" applyFont="1" applyBorder="1" applyAlignment="1" applyProtection="1">
      <alignment horizontal="center" vertical="center"/>
    </xf>
    <xf numFmtId="14" fontId="0" fillId="0" borderId="4" xfId="0" applyNumberFormat="1" applyFont="1" applyFill="1" applyBorder="1" applyAlignment="1">
      <alignment horizontal="center" vertical="center" wrapText="1"/>
    </xf>
    <xf numFmtId="14" fontId="10" fillId="0" borderId="22" xfId="0" applyNumberFormat="1" applyFont="1" applyFill="1" applyBorder="1" applyAlignment="1">
      <alignment horizontal="center" vertical="center" wrapText="1"/>
    </xf>
    <xf numFmtId="0" fontId="0" fillId="0" borderId="1" xfId="0" applyFont="1" applyBorder="1"/>
    <xf numFmtId="0" fontId="9" fillId="0" borderId="23" xfId="1" applyFont="1" applyBorder="1" applyAlignment="1" applyProtection="1">
      <alignment horizontal="center" vertical="center"/>
    </xf>
    <xf numFmtId="14" fontId="10" fillId="0" borderId="16" xfId="0" applyNumberFormat="1" applyFont="1" applyFill="1" applyBorder="1" applyAlignment="1">
      <alignment horizontal="center" vertical="center" wrapText="1"/>
    </xf>
    <xf numFmtId="14" fontId="0" fillId="0" borderId="1" xfId="0" applyNumberFormat="1" applyFont="1" applyFill="1" applyBorder="1" applyAlignment="1">
      <alignment horizontal="left" vertical="center" wrapText="1"/>
    </xf>
    <xf numFmtId="0" fontId="9" fillId="0" borderId="18" xfId="1" applyFont="1" applyBorder="1" applyAlignment="1" applyProtection="1">
      <alignment horizontal="center" vertical="center"/>
    </xf>
    <xf numFmtId="0" fontId="0" fillId="0" borderId="19" xfId="0" applyFont="1" applyBorder="1"/>
    <xf numFmtId="14" fontId="0" fillId="0" borderId="19" xfId="0" applyNumberFormat="1" applyFont="1" applyFill="1" applyBorder="1" applyAlignment="1">
      <alignment horizontal="center" vertical="center" wrapText="1"/>
    </xf>
    <xf numFmtId="14" fontId="0" fillId="0" borderId="19" xfId="0" applyNumberFormat="1" applyFont="1" applyFill="1" applyBorder="1" applyAlignment="1">
      <alignment horizontal="left" vertical="center" wrapText="1"/>
    </xf>
    <xf numFmtId="0" fontId="11" fillId="0" borderId="19" xfId="0" applyFont="1" applyFill="1" applyBorder="1" applyAlignment="1">
      <alignment horizontal="center" vertical="center" wrapText="1"/>
    </xf>
    <xf numFmtId="14" fontId="10" fillId="0" borderId="21" xfId="0" applyNumberFormat="1" applyFont="1" applyFill="1" applyBorder="1" applyAlignment="1">
      <alignment horizontal="center" vertical="center" wrapText="1"/>
    </xf>
    <xf numFmtId="14" fontId="7" fillId="0" borderId="16" xfId="0" applyNumberFormat="1" applyFont="1" applyFill="1" applyBorder="1" applyAlignment="1">
      <alignment horizontal="center" vertical="center" wrapText="1"/>
    </xf>
    <xf numFmtId="0" fontId="8" fillId="4" borderId="24" xfId="1" applyFont="1" applyFill="1" applyBorder="1" applyAlignment="1" applyProtection="1">
      <alignment vertical="center"/>
    </xf>
    <xf numFmtId="0" fontId="8" fillId="4" borderId="7" xfId="0" applyFont="1" applyFill="1" applyBorder="1" applyAlignment="1">
      <alignment vertical="center"/>
    </xf>
    <xf numFmtId="0" fontId="8" fillId="4" borderId="17" xfId="0" applyFont="1" applyFill="1" applyBorder="1" applyAlignment="1">
      <alignment vertical="center"/>
    </xf>
    <xf numFmtId="0" fontId="26" fillId="7" borderId="19" xfId="0" applyFont="1" applyFill="1" applyBorder="1" applyAlignment="1">
      <alignment wrapText="1"/>
    </xf>
    <xf numFmtId="14" fontId="7" fillId="0" borderId="19" xfId="0" applyNumberFormat="1" applyFont="1" applyFill="1" applyBorder="1" applyAlignment="1">
      <alignment horizontal="center" vertical="center" wrapText="1"/>
    </xf>
    <xf numFmtId="14" fontId="7" fillId="0" borderId="21" xfId="0" applyNumberFormat="1" applyFont="1" applyFill="1" applyBorder="1" applyAlignment="1">
      <alignment horizontal="center" vertical="center" wrapText="1"/>
    </xf>
    <xf numFmtId="0" fontId="7" fillId="0" borderId="19" xfId="0" applyFont="1" applyBorder="1" applyAlignment="1">
      <alignment wrapText="1"/>
    </xf>
    <xf numFmtId="0" fontId="0" fillId="0" borderId="19" xfId="0" applyFont="1" applyFill="1" applyBorder="1" applyAlignment="1">
      <alignment vertical="center" wrapText="1"/>
    </xf>
    <xf numFmtId="0" fontId="15" fillId="0" borderId="19" xfId="0" applyFont="1" applyFill="1" applyBorder="1" applyAlignment="1">
      <alignment horizontal="left" vertical="center" wrapText="1"/>
    </xf>
    <xf numFmtId="14" fontId="14" fillId="0" borderId="21" xfId="0" applyNumberFormat="1" applyFont="1" applyFill="1" applyBorder="1" applyAlignment="1">
      <alignment horizontal="center" vertical="center" wrapText="1"/>
    </xf>
    <xf numFmtId="0" fontId="0" fillId="0" borderId="0" xfId="0" applyFont="1" applyBorder="1" applyAlignment="1">
      <alignment wrapText="1"/>
    </xf>
    <xf numFmtId="0" fontId="0" fillId="0" borderId="1" xfId="0" applyFont="1" applyBorder="1" applyAlignment="1">
      <alignment wrapText="1"/>
    </xf>
    <xf numFmtId="0" fontId="7" fillId="0" borderId="19" xfId="0" quotePrefix="1" applyFont="1" applyBorder="1"/>
    <xf numFmtId="0" fontId="7" fillId="0" borderId="19" xfId="0" applyFont="1" applyBorder="1" applyAlignment="1">
      <alignment horizontal="center" wrapText="1"/>
    </xf>
    <xf numFmtId="21" fontId="0" fillId="0" borderId="0" xfId="0" applyNumberFormat="1" applyBorder="1" applyAlignment="1">
      <alignment horizontal="center" vertical="center"/>
    </xf>
    <xf numFmtId="164" fontId="0" fillId="0" borderId="0" xfId="0" applyNumberFormat="1" applyBorder="1" applyAlignment="1">
      <alignment horizontal="center" vertical="center"/>
    </xf>
    <xf numFmtId="0" fontId="0" fillId="0" borderId="0" xfId="0" applyBorder="1" applyAlignment="1">
      <alignment horizontal="center"/>
    </xf>
    <xf numFmtId="0" fontId="7" fillId="0" borderId="11" xfId="0" applyFont="1" applyBorder="1" applyAlignment="1">
      <alignment horizontal="center"/>
    </xf>
    <xf numFmtId="0" fontId="7" fillId="0" borderId="14" xfId="0" applyFont="1" applyBorder="1" applyAlignment="1">
      <alignment horizontal="center"/>
    </xf>
    <xf numFmtId="0" fontId="17" fillId="0" borderId="0" xfId="0" applyFont="1" applyFill="1" applyBorder="1" applyAlignment="1">
      <alignment horizontal="center" vertical="center" wrapText="1"/>
    </xf>
    <xf numFmtId="20" fontId="0" fillId="0" borderId="0" xfId="0" applyNumberFormat="1" applyBorder="1" applyAlignment="1">
      <alignment horizontal="center" vertical="center"/>
    </xf>
    <xf numFmtId="0" fontId="0" fillId="0" borderId="10" xfId="0" applyFill="1" applyBorder="1" applyAlignment="1">
      <alignment vertical="center"/>
    </xf>
    <xf numFmtId="46" fontId="0" fillId="0" borderId="14" xfId="0" applyNumberFormat="1" applyBorder="1" applyAlignment="1">
      <alignment horizontal="center" vertical="center"/>
    </xf>
    <xf numFmtId="0" fontId="0" fillId="0" borderId="14" xfId="0" applyBorder="1" applyAlignment="1">
      <alignment horizontal="center" vertical="center"/>
    </xf>
    <xf numFmtId="0" fontId="0" fillId="0" borderId="14" xfId="0" applyFill="1" applyBorder="1" applyAlignment="1">
      <alignment vertical="center"/>
    </xf>
    <xf numFmtId="21" fontId="0" fillId="0" borderId="14" xfId="0" applyNumberFormat="1" applyBorder="1" applyAlignment="1">
      <alignment horizontal="center" vertical="center"/>
    </xf>
    <xf numFmtId="165" fontId="0" fillId="0" borderId="14" xfId="0" applyNumberFormat="1" applyBorder="1" applyAlignment="1">
      <alignment horizontal="center" vertical="center"/>
    </xf>
    <xf numFmtId="164" fontId="0" fillId="0" borderId="14" xfId="0" applyNumberFormat="1" applyBorder="1" applyAlignment="1">
      <alignment horizontal="center" vertical="center"/>
    </xf>
    <xf numFmtId="0" fontId="0" fillId="0" borderId="4" xfId="0" applyBorder="1" applyAlignment="1">
      <alignment vertical="center"/>
    </xf>
    <xf numFmtId="0" fontId="32" fillId="0" borderId="5" xfId="0" applyFont="1" applyFill="1" applyBorder="1" applyAlignment="1">
      <alignment horizontal="center" vertical="center" wrapText="1"/>
    </xf>
    <xf numFmtId="0" fontId="6" fillId="0" borderId="12" xfId="0" applyFont="1" applyFill="1" applyBorder="1" applyAlignment="1">
      <alignment horizontal="left" vertical="center" wrapText="1"/>
    </xf>
    <xf numFmtId="14" fontId="7" fillId="0" borderId="5" xfId="0" applyNumberFormat="1" applyFont="1" applyFill="1" applyBorder="1" applyAlignment="1">
      <alignment horizontal="center" vertical="center" wrapText="1"/>
    </xf>
    <xf numFmtId="0" fontId="0" fillId="0" borderId="12" xfId="0" applyBorder="1" applyAlignment="1">
      <alignment vertical="center"/>
    </xf>
    <xf numFmtId="0" fontId="7" fillId="0" borderId="5" xfId="0" applyFont="1" applyFill="1" applyBorder="1" applyAlignment="1">
      <alignment horizontal="center" vertical="center" wrapText="1"/>
    </xf>
    <xf numFmtId="0" fontId="0" fillId="0" borderId="5" xfId="0" applyFill="1" applyBorder="1" applyAlignment="1">
      <alignment horizontal="center" vertical="center" wrapText="1"/>
    </xf>
    <xf numFmtId="0" fontId="0" fillId="0" borderId="5" xfId="0" applyBorder="1" applyAlignment="1">
      <alignment horizontal="center" vertical="center" wrapText="1"/>
    </xf>
    <xf numFmtId="0" fontId="0" fillId="0" borderId="5" xfId="0" applyFont="1" applyBorder="1" applyAlignment="1">
      <alignment horizontal="left" vertical="center"/>
    </xf>
    <xf numFmtId="0" fontId="0" fillId="0" borderId="5" xfId="0" applyBorder="1" applyAlignment="1">
      <alignment horizontal="center" vertical="center"/>
    </xf>
    <xf numFmtId="0" fontId="0" fillId="0" borderId="25" xfId="0" applyBorder="1" applyAlignment="1">
      <alignment horizontal="center" vertical="center"/>
    </xf>
    <xf numFmtId="0" fontId="0" fillId="0" borderId="9" xfId="0" applyBorder="1" applyAlignment="1">
      <alignment horizontal="center" vertical="center" wrapText="1"/>
    </xf>
    <xf numFmtId="165" fontId="0" fillId="0" borderId="9" xfId="0" applyNumberFormat="1" applyBorder="1" applyAlignment="1">
      <alignment horizontal="center" vertical="center"/>
    </xf>
    <xf numFmtId="164" fontId="0" fillId="0" borderId="9" xfId="0" applyNumberFormat="1" applyBorder="1" applyAlignment="1">
      <alignment horizontal="center" vertical="center"/>
    </xf>
    <xf numFmtId="0" fontId="0" fillId="0" borderId="8" xfId="0" applyBorder="1" applyAlignment="1">
      <alignment vertical="center"/>
    </xf>
    <xf numFmtId="0" fontId="39" fillId="0" borderId="14" xfId="0" applyFont="1" applyFill="1" applyBorder="1" applyAlignment="1">
      <alignment horizontal="center"/>
    </xf>
    <xf numFmtId="0" fontId="39" fillId="0" borderId="11" xfId="0" applyFont="1" applyBorder="1" applyAlignment="1">
      <alignment horizontal="center"/>
    </xf>
    <xf numFmtId="0" fontId="39" fillId="0" borderId="0" xfId="0" applyFont="1" applyBorder="1" applyAlignment="1">
      <alignment horizontal="center"/>
    </xf>
    <xf numFmtId="0" fontId="7" fillId="9" borderId="1" xfId="0" applyFont="1" applyFill="1" applyBorder="1" applyAlignment="1">
      <alignment horizontal="center" wrapText="1"/>
    </xf>
    <xf numFmtId="0" fontId="0" fillId="0" borderId="1" xfId="0" applyBorder="1" applyAlignment="1">
      <alignment horizontal="left" vertical="center" wrapText="1"/>
    </xf>
    <xf numFmtId="0" fontId="41" fillId="0" borderId="0" xfId="0" applyFont="1" applyAlignment="1">
      <alignment horizontal="center" vertical="center"/>
    </xf>
    <xf numFmtId="0" fontId="18"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40" fillId="8" borderId="10" xfId="0" applyFont="1" applyFill="1" applyBorder="1" applyAlignment="1">
      <alignment horizontal="center" vertical="center" wrapText="1"/>
    </xf>
    <xf numFmtId="0" fontId="40" fillId="8" borderId="14" xfId="0" applyFont="1" applyFill="1" applyBorder="1" applyAlignment="1">
      <alignment horizontal="center" vertical="center" wrapText="1"/>
    </xf>
    <xf numFmtId="0" fontId="40" fillId="8" borderId="4" xfId="0" applyFont="1" applyFill="1" applyBorder="1" applyAlignment="1">
      <alignment horizontal="center" vertical="center" wrapText="1"/>
    </xf>
  </cellXfs>
  <cellStyles count="10">
    <cellStyle name="Accent1" xfId="2" builtinId="29"/>
    <cellStyle name="DUY" xfId="9"/>
    <cellStyle name="GGX" xfId="8"/>
    <cellStyle name="Hyperlink" xfId="1" builtinId="8"/>
    <cellStyle name="Normal" xfId="0" builtinId="0"/>
    <cellStyle name="Normal 13" xfId="5"/>
    <cellStyle name="Normal 16" xfId="7"/>
    <cellStyle name="Normal 2" xfId="6"/>
    <cellStyle name="Normal 5" xfId="4"/>
    <cellStyle name="Normal 6" xfId="3"/>
  </cellStyles>
  <dxfs count="197">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bottom/>
      </border>
    </dxf>
    <dxf>
      <alignment horizontal="center" vertical="bottom" textRotation="0" wrapText="0" indent="0" justifyLastLine="0" shrinkToFit="0" readingOrder="0"/>
      <border diagonalUp="0" diagonalDown="0">
        <left/>
        <right/>
        <top style="thin">
          <color indexed="64"/>
        </top>
        <bottom style="thin">
          <color indexed="64"/>
        </bottom>
      </border>
    </dxf>
    <dxf>
      <border>
        <top style="thin">
          <color indexed="64"/>
        </top>
        <vertical/>
        <horizontal/>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bottom/>
      </border>
    </dxf>
    <dxf>
      <alignment horizontal="center" vertical="bottom" textRotation="0" wrapText="0" indent="0" justifyLastLine="0" shrinkToFit="0" readingOrder="0"/>
      <border diagonalUp="0" diagonalDown="0">
        <left/>
        <right/>
        <top style="thin">
          <color indexed="64"/>
        </top>
        <bottom style="thin">
          <color indexed="64"/>
        </bottom>
      </border>
    </dxf>
    <dxf>
      <border>
        <top style="thin">
          <color indexed="64"/>
        </top>
        <vertical/>
        <horizontal/>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bottom/>
      </border>
    </dxf>
    <dxf>
      <alignment horizontal="center" vertical="bottom" textRotation="0" wrapText="0" indent="0" justifyLastLine="0" shrinkToFit="0" readingOrder="0"/>
      <border diagonalUp="0" diagonalDown="0">
        <left/>
        <right/>
        <top style="thin">
          <color indexed="64"/>
        </top>
        <bottom style="thin">
          <color indexed="64"/>
        </bottom>
      </border>
    </dxf>
    <dxf>
      <border>
        <top style="thin">
          <color indexed="64"/>
        </top>
        <vertical/>
        <horizontal/>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relativeIndent="0" justifyLastLine="0" shrinkToFit="0" readingOrder="0"/>
      <border diagonalUp="0" diagonalDown="0">
        <left/>
        <right/>
        <top style="thin">
          <color indexed="64"/>
        </top>
        <bottom style="thin">
          <color indexed="64"/>
        </bottom>
        <vertical/>
        <horizontal/>
      </border>
    </dxf>
    <dxf>
      <border>
        <top style="thin">
          <color indexed="64"/>
        </top>
        <vertical/>
        <horizontal/>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relativeIndent="0" justifyLastLine="0" shrinkToFit="0" readingOrder="0"/>
    </dxf>
    <dxf>
      <border>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0"/>
        <color auto="1"/>
        <name val="Arial"/>
        <scheme val="none"/>
      </font>
      <alignment horizontal="center" vertical="bottom" textRotation="0" wrapText="0" relativeIndent="0" justifyLastLine="0" shrinkToFit="0" readingOrder="0"/>
      <border diagonalUp="0" diagonalDown="0">
        <left/>
        <right/>
        <top style="thin">
          <color indexed="64"/>
        </top>
        <bottom style="thin">
          <color indexed="64"/>
        </bottom>
        <vertical/>
        <horizontal/>
      </border>
    </dxf>
    <dxf>
      <border>
        <top style="thin">
          <color indexed="64"/>
        </top>
        <vertical/>
        <horizontal/>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bottom" textRotation="0" wrapText="0" relativeIndent="0" justifyLastLine="0" shrinkToFit="0" readingOrder="0"/>
    </dxf>
    <dxf>
      <border>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bottom/>
      </border>
    </dxf>
    <dxf>
      <fill>
        <patternFill>
          <bgColor indexed="55"/>
        </patternFill>
      </fill>
    </dxf>
    <dxf>
      <font>
        <b/>
        <i val="0"/>
        <strike val="0"/>
        <condense val="0"/>
        <extend val="0"/>
        <outline val="0"/>
        <shadow val="0"/>
        <u val="none"/>
        <vertAlign val="baseline"/>
        <sz val="10"/>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solid">
          <fgColor indexed="64"/>
          <bgColor indexed="5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name val="Arial"/>
        <scheme val="none"/>
      </font>
    </dxf>
    <dxf>
      <border outline="0">
        <bottom style="thin">
          <color rgb="FF000000"/>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numFmt numFmtId="19" formatCode="m/d/yyyy"/>
      <fill>
        <patternFill patternType="none">
          <fgColor indexed="64"/>
          <bgColor indexed="65"/>
        </patternFill>
      </fill>
      <alignment horizontal="center"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name val="Arial"/>
        <scheme val="none"/>
      </font>
    </dxf>
    <dxf>
      <border outline="0">
        <bottom style="thin">
          <color rgb="FF000000"/>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0"/>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name val="Arial"/>
        <scheme val="none"/>
      </font>
    </dxf>
    <dxf>
      <border outline="0">
        <bottom style="thin">
          <color rgb="FF000000"/>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0"/>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numFmt numFmtId="19" formatCode="m/d/yyyy"/>
      <fill>
        <patternFill patternType="none">
          <fgColor indexed="64"/>
          <bgColor indexed="65"/>
        </patternFill>
      </fill>
      <alignment horizontal="center"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0"/>
        <color auto="1"/>
        <name val="Arial"/>
        <scheme val="none"/>
      </font>
      <fill>
        <patternFill patternType="solid">
          <fgColor indexed="64"/>
          <bgColor indexed="5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name val="Arial"/>
        <scheme val="none"/>
      </font>
    </dxf>
    <dxf>
      <border outline="0">
        <bottom style="thin">
          <color rgb="FF000000"/>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0"/>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numFmt numFmtId="19" formatCode="m/d/yyyy"/>
      <fill>
        <patternFill patternType="none">
          <fgColor indexed="64"/>
          <bgColor indexed="65"/>
        </patternFill>
      </fill>
      <alignment horizontal="center"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strike val="0"/>
        <outline val="0"/>
        <shadow val="0"/>
        <vertAlign val="baseline"/>
        <sz val="10"/>
        <name val="Arial"/>
        <scheme val="none"/>
      </font>
      <fill>
        <patternFill patternType="solid">
          <fgColor indexed="64"/>
          <bgColor rgb="FFFFC00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theme="9" tint="0.79998168889431442"/>
          <bgColor theme="9"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0"/>
        <color auto="1"/>
        <name val="Arial"/>
        <scheme val="none"/>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name val="Arial"/>
        <scheme val="none"/>
      </font>
    </dxf>
    <dxf>
      <border outline="0">
        <bottom style="thin">
          <color rgb="FF000000"/>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numFmt numFmtId="31" formatCode="[h]:mm:ss"/>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m/d/yyyy"/>
      <alignment horizontal="center" vertical="center" textRotation="0" wrapText="1" relativeIndent="0" justifyLastLine="0" shrinkToFit="0" readingOrder="0"/>
      <border diagonalUp="0" diagonalDown="0">
        <left style="thin">
          <color indexed="64"/>
        </left>
        <right style="thin">
          <color indexed="64"/>
        </right>
        <top style="thin">
          <color indexed="64"/>
        </top>
        <bottom/>
        <vertical/>
        <horizontal/>
      </border>
    </dxf>
    <dxf>
      <font>
        <strike val="0"/>
        <outline val="0"/>
        <shadow val="0"/>
        <vertAlign val="baseline"/>
        <sz val="10"/>
        <name val="Arial"/>
        <scheme val="none"/>
      </font>
      <fill>
        <patternFill patternType="solid">
          <fgColor indexed="64"/>
          <bgColor rgb="FFFFC0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solid">
          <fgColor theme="9" tint="0.79998168889431442"/>
          <bgColor theme="9"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name val="Arial"/>
        <scheme val="none"/>
      </font>
      <alignment vertical="center" textRotation="0" indent="0" justifyLastLine="0" shrinkToFit="0" readingOrder="0"/>
    </dxf>
    <dxf>
      <border outline="0">
        <bottom style="thin">
          <color rgb="FF000000"/>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4" formatCode="0.0%"/>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rial"/>
        <scheme val="none"/>
      </font>
      <numFmt numFmtId="165" formatCode="[$-409]mmmm\ d\,\ yyyy;@"/>
      <fill>
        <patternFill patternType="none">
          <fgColor indexed="64"/>
          <bgColor indexed="65"/>
        </patternFill>
      </fill>
      <alignment horizontal="left"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fill>
        <patternFill patternType="none">
          <fgColor indexed="64"/>
          <bgColor indexed="65"/>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sz val="10"/>
        <name val="Arial"/>
        <scheme val="none"/>
      </font>
      <numFmt numFmtId="31" formatCode="[h]:mm:ss"/>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1" formatCode="[h]:mm:ss"/>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dxf>
    <dxf>
      <font>
        <strike val="0"/>
        <outline val="0"/>
        <shadow val="0"/>
        <vertAlign val="baseline"/>
        <sz val="10"/>
        <name val="Arial"/>
        <scheme val="none"/>
      </font>
      <fill>
        <patternFill patternType="solid">
          <fgColor indexed="64"/>
          <bgColor rgb="FFFFC00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fill>
        <patternFill patternType="solid">
          <fgColor theme="9" tint="0.79998168889431442"/>
          <bgColor theme="9" tint="0.79998168889431442"/>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scheme val="none"/>
      </font>
      <fill>
        <patternFill patternType="solid">
          <fgColor theme="9" tint="0.79998168889431442"/>
          <bgColor theme="9"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0"/>
        <color auto="1"/>
        <name val="Arial"/>
        <scheme val="none"/>
      </font>
      <fill>
        <patternFill patternType="solid">
          <fgColor theme="9" tint="0.79998168889431442"/>
          <bgColor theme="9" tint="0.79998168889431442"/>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vertAlign val="baseline"/>
        <name val="Arial"/>
        <scheme val="none"/>
      </font>
    </dxf>
    <dxf>
      <border outline="0">
        <bottom style="thin">
          <color indexed="64"/>
        </bottom>
      </border>
    </dxf>
    <dxf>
      <font>
        <b val="0"/>
        <strike val="0"/>
        <outline val="0"/>
        <shadow val="0"/>
        <u/>
        <vertAlign val="baseline"/>
        <sz val="12"/>
        <color theme="0"/>
        <name val="Arial"/>
        <scheme val="none"/>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295275</xdr:colOff>
      <xdr:row>0</xdr:row>
      <xdr:rowOff>123825</xdr:rowOff>
    </xdr:from>
    <xdr:to>
      <xdr:col>3</xdr:col>
      <xdr:colOff>235130</xdr:colOff>
      <xdr:row>9</xdr:row>
      <xdr:rowOff>171450</xdr:rowOff>
    </xdr:to>
    <xdr:pic macro="[0]!Total_Form">
      <xdr:nvPicPr>
        <xdr:cNvPr id="2" name="Picture 1" descr="application_vnd_ms_excel.png"/>
        <xdr:cNvPicPr>
          <a:picLocks noChangeAspect="1"/>
        </xdr:cNvPicPr>
      </xdr:nvPicPr>
      <xdr:blipFill>
        <a:blip xmlns:r="http://schemas.openxmlformats.org/officeDocument/2006/relationships" r:embed="rId1"/>
        <a:stretch>
          <a:fillRect/>
        </a:stretch>
      </xdr:blipFill>
      <xdr:spPr>
        <a:xfrm>
          <a:off x="295275" y="123825"/>
          <a:ext cx="1768655" cy="1762125"/>
        </a:xfrm>
        <a:prstGeom prst="rect">
          <a:avLst/>
        </a:prstGeom>
      </xdr:spPr>
    </xdr:pic>
    <xdr:clientData/>
  </xdr:twoCellAnchor>
  <xdr:twoCellAnchor editAs="oneCell">
    <xdr:from>
      <xdr:col>4</xdr:col>
      <xdr:colOff>66675</xdr:colOff>
      <xdr:row>0</xdr:row>
      <xdr:rowOff>142875</xdr:rowOff>
    </xdr:from>
    <xdr:to>
      <xdr:col>7</xdr:col>
      <xdr:colOff>44798</xdr:colOff>
      <xdr:row>10</xdr:row>
      <xdr:rowOff>38100</xdr:rowOff>
    </xdr:to>
    <xdr:pic macro="[0]!Add_Form">
      <xdr:nvPicPr>
        <xdr:cNvPr id="5" name="Picture 4" descr="Actions-bookmark-new-icon.png"/>
        <xdr:cNvPicPr>
          <a:picLocks noChangeAspect="1"/>
        </xdr:cNvPicPr>
      </xdr:nvPicPr>
      <xdr:blipFill>
        <a:blip xmlns:r="http://schemas.openxmlformats.org/officeDocument/2006/relationships" r:embed="rId2"/>
        <a:stretch>
          <a:fillRect/>
        </a:stretch>
      </xdr:blipFill>
      <xdr:spPr>
        <a:xfrm>
          <a:off x="2505075" y="142875"/>
          <a:ext cx="1806923" cy="1800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11206</xdr:colOff>
      <xdr:row>2</xdr:row>
      <xdr:rowOff>0</xdr:rowOff>
    </xdr:from>
    <xdr:to>
      <xdr:col>8</xdr:col>
      <xdr:colOff>773206</xdr:colOff>
      <xdr:row>28</xdr:row>
      <xdr:rowOff>149679</xdr:rowOff>
    </xdr:to>
    <xdr:grpSp>
      <xdr:nvGrpSpPr>
        <xdr:cNvPr id="18" name="Group 17"/>
        <xdr:cNvGrpSpPr/>
      </xdr:nvGrpSpPr>
      <xdr:grpSpPr>
        <a:xfrm>
          <a:off x="11206" y="898071"/>
          <a:ext cx="13321393" cy="5374822"/>
          <a:chOff x="11206" y="2530929"/>
          <a:chExt cx="13321393" cy="5374821"/>
        </a:xfrm>
      </xdr:grpSpPr>
      <xdr:sp macro="" textlink="">
        <xdr:nvSpPr>
          <xdr:cNvPr id="4" name="TextBox 3"/>
          <xdr:cNvSpPr txBox="1"/>
        </xdr:nvSpPr>
        <xdr:spPr>
          <a:xfrm>
            <a:off x="179294" y="2530929"/>
            <a:ext cx="3932463" cy="6539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400" b="1">
                <a:solidFill>
                  <a:srgbClr val="FF0000"/>
                </a:solidFill>
              </a:rPr>
              <a:t>NOTE: If the Statistics Form cannot be opened with the below error</a:t>
            </a:r>
          </a:p>
        </xdr:txBody>
      </xdr:sp>
      <xdr:sp macro="" textlink="">
        <xdr:nvSpPr>
          <xdr:cNvPr id="7" name="TextBox 6"/>
          <xdr:cNvSpPr txBox="1"/>
        </xdr:nvSpPr>
        <xdr:spPr>
          <a:xfrm>
            <a:off x="4503965" y="2834288"/>
            <a:ext cx="4934591" cy="12238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1. Right</a:t>
            </a:r>
            <a:r>
              <a:rPr lang="en-US" sz="1400" baseline="0"/>
              <a:t> click on each symbol </a:t>
            </a:r>
            <a:r>
              <a:rPr lang="en-US" sz="1400" baseline="0">
                <a:solidFill>
                  <a:schemeClr val="dk1"/>
                </a:solidFill>
                <a:latin typeface="+mn-lt"/>
                <a:ea typeface="+mn-ea"/>
                <a:cs typeface="+mn-cs"/>
              </a:rPr>
              <a:t>on the right side </a:t>
            </a:r>
            <a:r>
              <a:rPr lang="en-US" sz="1400" baseline="0"/>
              <a:t>and select </a:t>
            </a:r>
            <a:r>
              <a:rPr lang="en-US" sz="1400" b="1" baseline="0"/>
              <a:t>Copy</a:t>
            </a:r>
          </a:p>
          <a:p>
            <a:r>
              <a:rPr lang="en-US" sz="1400" baseline="0"/>
              <a:t>2. Paste them to the following location </a:t>
            </a:r>
            <a:r>
              <a:rPr lang="en-US" sz="1400" b="1" i="1" u="sng" baseline="0"/>
              <a:t>C:\Windows\System32</a:t>
            </a:r>
            <a:endParaRPr lang="en-US" sz="1400" b="1" i="1" u="sng"/>
          </a:p>
        </xdr:txBody>
      </xdr:sp>
      <xdr:sp macro="" textlink="">
        <xdr:nvSpPr>
          <xdr:cNvPr id="8" name="TextBox 7"/>
          <xdr:cNvSpPr txBox="1"/>
        </xdr:nvSpPr>
        <xdr:spPr>
          <a:xfrm>
            <a:off x="8484452" y="5616548"/>
            <a:ext cx="4848147" cy="2289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Open CMD with</a:t>
            </a:r>
            <a:r>
              <a:rPr lang="en-US" sz="1400" baseline="0"/>
              <a:t> Administrators rights and run following commands. </a:t>
            </a:r>
          </a:p>
          <a:p>
            <a:r>
              <a:rPr lang="en-US" sz="1400" baseline="0"/>
              <a:t>Or copy out and run the attached batch "registerDLLs.bat"</a:t>
            </a:r>
          </a:p>
          <a:p>
            <a:pPr marL="0" marR="0" indent="0" defTabSz="914400" eaLnBrk="1" fontAlgn="auto" latinLnBrk="0" hangingPunct="1">
              <a:lnSpc>
                <a:spcPct val="100000"/>
              </a:lnSpc>
              <a:spcBef>
                <a:spcPts val="0"/>
              </a:spcBef>
              <a:spcAft>
                <a:spcPts val="0"/>
              </a:spcAft>
              <a:buClrTx/>
              <a:buSzTx/>
              <a:buFontTx/>
              <a:buNone/>
              <a:tabLst/>
              <a:defRPr/>
            </a:pPr>
            <a:r>
              <a:rPr lang="en-US" sz="1400" b="1" baseline="0"/>
              <a:t>32bit system:</a:t>
            </a:r>
            <a:br>
              <a:rPr lang="en-US" sz="1400" b="1" baseline="0"/>
            </a:br>
            <a:r>
              <a:rPr lang="en-US" sz="1400" b="1" baseline="0"/>
              <a:t>regsvr32 "C:\Windows\System32\mscomct2.ocx"</a:t>
            </a:r>
            <a:br>
              <a:rPr lang="en-US" sz="1400" b="1" baseline="0"/>
            </a:br>
            <a:r>
              <a:rPr lang="en-US" sz="1400" b="1" baseline="0">
                <a:solidFill>
                  <a:schemeClr val="dk1"/>
                </a:solidFill>
                <a:latin typeface="+mn-lt"/>
                <a:ea typeface="+mn-ea"/>
                <a:cs typeface="+mn-cs"/>
              </a:rPr>
              <a:t>regsvr32 "C:\Windows\System32\tlbinf32.dll"</a:t>
            </a:r>
            <a:br>
              <a:rPr lang="en-US" sz="1400" b="1" baseline="0">
                <a:solidFill>
                  <a:schemeClr val="dk1"/>
                </a:solidFill>
                <a:latin typeface="+mn-lt"/>
                <a:ea typeface="+mn-ea"/>
                <a:cs typeface="+mn-cs"/>
              </a:rPr>
            </a:br>
            <a:r>
              <a:rPr lang="en-US" sz="1400" b="1" baseline="0">
                <a:solidFill>
                  <a:schemeClr val="dk1"/>
                </a:solidFill>
                <a:latin typeface="+mn-lt"/>
                <a:ea typeface="+mn-ea"/>
                <a:cs typeface="+mn-cs"/>
              </a:rPr>
              <a:t/>
            </a:r>
            <a:br>
              <a:rPr lang="en-US" sz="1400" b="1" baseline="0">
                <a:solidFill>
                  <a:schemeClr val="dk1"/>
                </a:solidFill>
                <a:latin typeface="+mn-lt"/>
                <a:ea typeface="+mn-ea"/>
                <a:cs typeface="+mn-cs"/>
              </a:rPr>
            </a:br>
            <a:r>
              <a:rPr lang="en-US" sz="1400" b="1" u="sng" baseline="0">
                <a:solidFill>
                  <a:schemeClr val="dk1"/>
                </a:solidFill>
                <a:latin typeface="+mn-lt"/>
                <a:ea typeface="+mn-ea"/>
                <a:cs typeface="+mn-cs"/>
              </a:rPr>
              <a:t>64bit system:</a:t>
            </a:r>
            <a:r>
              <a:rPr lang="en-US" sz="1400" b="1" baseline="0">
                <a:solidFill>
                  <a:schemeClr val="dk1"/>
                </a:solidFill>
                <a:latin typeface="+mn-lt"/>
                <a:ea typeface="+mn-ea"/>
                <a:cs typeface="+mn-cs"/>
              </a:rPr>
              <a:t/>
            </a:r>
            <a:br>
              <a:rPr lang="en-US" sz="1400" b="1" baseline="0">
                <a:solidFill>
                  <a:schemeClr val="dk1"/>
                </a:solidFill>
                <a:latin typeface="+mn-lt"/>
                <a:ea typeface="+mn-ea"/>
                <a:cs typeface="+mn-cs"/>
              </a:rPr>
            </a:br>
            <a:r>
              <a:rPr lang="en-US" sz="1400" b="1" baseline="0">
                <a:solidFill>
                  <a:schemeClr val="dk1"/>
                </a:solidFill>
                <a:latin typeface="+mn-lt"/>
                <a:ea typeface="+mn-ea"/>
                <a:cs typeface="+mn-cs"/>
              </a:rPr>
              <a:t>regsvr32 "C:\Windows\SysWow64\mscomct2.ocx"</a:t>
            </a:r>
            <a:br>
              <a:rPr lang="en-US" sz="1400" b="1" baseline="0">
                <a:solidFill>
                  <a:schemeClr val="dk1"/>
                </a:solidFill>
                <a:latin typeface="+mn-lt"/>
                <a:ea typeface="+mn-ea"/>
                <a:cs typeface="+mn-cs"/>
              </a:rPr>
            </a:br>
            <a:r>
              <a:rPr lang="en-US" sz="1400" b="1" baseline="0">
                <a:solidFill>
                  <a:schemeClr val="dk1"/>
                </a:solidFill>
                <a:latin typeface="+mn-lt"/>
                <a:ea typeface="+mn-ea"/>
                <a:cs typeface="+mn-cs"/>
              </a:rPr>
              <a:t>regsvr32 "C:\Windows\SysWow64\tlbinf32.dll"</a:t>
            </a:r>
          </a:p>
          <a:p>
            <a:pPr marL="0" marR="0" indent="0" defTabSz="914400" eaLnBrk="1" fontAlgn="auto" latinLnBrk="0" hangingPunct="1">
              <a:lnSpc>
                <a:spcPct val="100000"/>
              </a:lnSpc>
              <a:spcBef>
                <a:spcPts val="0"/>
              </a:spcBef>
              <a:spcAft>
                <a:spcPts val="0"/>
              </a:spcAft>
              <a:buClrTx/>
              <a:buSzTx/>
              <a:buFontTx/>
              <a:buNone/>
              <a:tabLst/>
              <a:defRPr/>
            </a:pPr>
            <a:endParaRPr lang="en-US" sz="1400" b="1" baseline="0">
              <a:solidFill>
                <a:schemeClr val="dk1"/>
              </a:solidFill>
              <a:latin typeface="+mn-lt"/>
              <a:ea typeface="+mn-ea"/>
              <a:cs typeface="+mn-cs"/>
            </a:endParaRPr>
          </a:p>
          <a:p>
            <a:endParaRPr lang="en-US" sz="1400" b="1" baseline="0"/>
          </a:p>
        </xdr:txBody>
      </xdr:sp>
      <xdr:cxnSp macro="">
        <xdr:nvCxnSpPr>
          <xdr:cNvPr id="9" name="Straight Arrow Connector 8"/>
          <xdr:cNvCxnSpPr/>
        </xdr:nvCxnSpPr>
        <xdr:spPr>
          <a:xfrm>
            <a:off x="4892967" y="4271042"/>
            <a:ext cx="4140574" cy="1588"/>
          </a:xfrm>
          <a:prstGeom prst="straightConnector1">
            <a:avLst/>
          </a:prstGeom>
          <a:ln w="571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10212472" y="5072672"/>
            <a:ext cx="1058655" cy="6724"/>
          </a:xfrm>
          <a:prstGeom prst="straightConnector1">
            <a:avLst/>
          </a:prstGeom>
          <a:ln w="571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1" name="Picture 11"/>
          <xdr:cNvPicPr>
            <a:picLocks noChangeAspect="1" noChangeArrowheads="1"/>
          </xdr:cNvPicPr>
        </xdr:nvPicPr>
        <xdr:blipFill>
          <a:blip xmlns:r="http://schemas.openxmlformats.org/officeDocument/2006/relationships" r:embed="rId1"/>
          <a:srcRect/>
          <a:stretch>
            <a:fillRect/>
          </a:stretch>
        </xdr:blipFill>
        <xdr:spPr bwMode="auto">
          <a:xfrm>
            <a:off x="4347082" y="5100277"/>
            <a:ext cx="3494714" cy="1330138"/>
          </a:xfrm>
          <a:prstGeom prst="rect">
            <a:avLst/>
          </a:prstGeom>
          <a:noFill/>
        </xdr:spPr>
      </xdr:pic>
      <xdr:sp macro="" textlink="">
        <xdr:nvSpPr>
          <xdr:cNvPr id="12" name="TextBox 11"/>
          <xdr:cNvSpPr txBox="1"/>
        </xdr:nvSpPr>
        <xdr:spPr>
          <a:xfrm>
            <a:off x="13607" y="5958327"/>
            <a:ext cx="3648316" cy="477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Restart this Excel file without</a:t>
            </a:r>
            <a:r>
              <a:rPr lang="en-US" sz="1400" baseline="0"/>
              <a:t> saving </a:t>
            </a:r>
            <a:r>
              <a:rPr lang="en-US" sz="1400"/>
              <a:t>and retry. </a:t>
            </a:r>
            <a:endParaRPr lang="en-US" sz="1400" b="1" baseline="0"/>
          </a:p>
        </xdr:txBody>
      </xdr:sp>
      <xdr:cxnSp macro="">
        <xdr:nvCxnSpPr>
          <xdr:cNvPr id="13" name="Straight Arrow Connector 12"/>
          <xdr:cNvCxnSpPr/>
        </xdr:nvCxnSpPr>
        <xdr:spPr>
          <a:xfrm rot="10800000">
            <a:off x="7868130" y="6214963"/>
            <a:ext cx="549088" cy="17108"/>
          </a:xfrm>
          <a:prstGeom prst="straightConnector1">
            <a:avLst/>
          </a:prstGeom>
          <a:ln w="571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4" name="Straight Arrow Connector 13"/>
          <xdr:cNvCxnSpPr/>
        </xdr:nvCxnSpPr>
        <xdr:spPr>
          <a:xfrm rot="10800000">
            <a:off x="3715552" y="6176041"/>
            <a:ext cx="541883" cy="17108"/>
          </a:xfrm>
          <a:prstGeom prst="straightConnector1">
            <a:avLst/>
          </a:prstGeom>
          <a:ln w="571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5" name="Picture 14" descr="error_missing_mscomct2_ocx_library.png"/>
          <xdr:cNvPicPr>
            <a:picLocks noChangeAspect="1"/>
          </xdr:cNvPicPr>
        </xdr:nvPicPr>
        <xdr:blipFill>
          <a:blip xmlns:r="http://schemas.openxmlformats.org/officeDocument/2006/relationships" r:embed="rId2"/>
          <a:stretch>
            <a:fillRect/>
          </a:stretch>
        </xdr:blipFill>
        <xdr:spPr>
          <a:xfrm>
            <a:off x="11206" y="3240900"/>
            <a:ext cx="4457522" cy="1544144"/>
          </a:xfrm>
          <a:prstGeom prst="rect">
            <a:avLst/>
          </a:prstGeom>
        </xdr:spPr>
      </xdr:pic>
      <xdr:pic>
        <xdr:nvPicPr>
          <xdr:cNvPr id="1029" name="Picture 5"/>
          <xdr:cNvPicPr>
            <a:picLocks noChangeAspect="1" noChangeArrowheads="1"/>
          </xdr:cNvPicPr>
        </xdr:nvPicPr>
        <xdr:blipFill>
          <a:blip xmlns:r="http://schemas.openxmlformats.org/officeDocument/2006/relationships" r:embed="rId3"/>
          <a:srcRect/>
          <a:stretch>
            <a:fillRect/>
          </a:stretch>
        </xdr:blipFill>
        <xdr:spPr bwMode="auto">
          <a:xfrm>
            <a:off x="4347082" y="5985542"/>
            <a:ext cx="3494714" cy="1330138"/>
          </a:xfrm>
          <a:prstGeom prst="rect">
            <a:avLst/>
          </a:prstGeom>
          <a:noFill/>
        </xdr:spPr>
      </xdr:pic>
    </xdr:grpSp>
    <xdr:clientData/>
  </xdr:twoCellAnchor>
  <mc:AlternateContent xmlns:mc="http://schemas.openxmlformats.org/markup-compatibility/2006">
    <mc:Choice xmlns:a14="http://schemas.microsoft.com/office/drawing/2010/main" Requires="a14">
      <xdr:twoCellAnchor>
        <xdr:from>
          <xdr:col>6</xdr:col>
          <xdr:colOff>295275</xdr:colOff>
          <xdr:row>2</xdr:row>
          <xdr:rowOff>85725</xdr:rowOff>
        </xdr:from>
        <xdr:to>
          <xdr:col>7</xdr:col>
          <xdr:colOff>1181100</xdr:colOff>
          <xdr:row>9</xdr:row>
          <xdr:rowOff>180975</xdr:rowOff>
        </xdr:to>
        <xdr:sp macro="" textlink="">
          <xdr:nvSpPr>
            <xdr:cNvPr id="1025" name="Object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1371600</xdr:colOff>
          <xdr:row>2</xdr:row>
          <xdr:rowOff>152400</xdr:rowOff>
        </xdr:from>
        <xdr:to>
          <xdr:col>9</xdr:col>
          <xdr:colOff>419100</xdr:colOff>
          <xdr:row>9</xdr:row>
          <xdr:rowOff>85725</xdr:rowOff>
        </xdr:to>
        <xdr:sp macro="" textlink="">
          <xdr:nvSpPr>
            <xdr:cNvPr id="1026" name="Object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1295400</xdr:colOff>
          <xdr:row>2</xdr:row>
          <xdr:rowOff>85725</xdr:rowOff>
        </xdr:from>
        <xdr:to>
          <xdr:col>9</xdr:col>
          <xdr:colOff>838200</xdr:colOff>
          <xdr:row>9</xdr:row>
          <xdr:rowOff>161925</xdr:rowOff>
        </xdr:to>
        <xdr:sp macro="" textlink="">
          <xdr:nvSpPr>
            <xdr:cNvPr id="1028" name="Object 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885825</xdr:colOff>
          <xdr:row>18</xdr:row>
          <xdr:rowOff>180975</xdr:rowOff>
        </xdr:from>
        <xdr:to>
          <xdr:col>10</xdr:col>
          <xdr:colOff>914400</xdr:colOff>
          <xdr:row>26</xdr:row>
          <xdr:rowOff>123825</xdr:rowOff>
        </xdr:to>
        <xdr:sp macro="" textlink="">
          <xdr:nvSpPr>
            <xdr:cNvPr id="2"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3" name="Table_1" displayName="Table_1" ref="A3:M146" totalsRowShown="0" headerRowDxfId="196" dataDxfId="194" headerRowBorderDxfId="195" tableBorderDxfId="193" totalsRowBorderDxfId="192" headerRowCellStyle="Accent1">
  <autoFilter ref="A3:M146"/>
  <sortState ref="A16:H61">
    <sortCondition ref="A2:A61"/>
  </sortState>
  <tableColumns count="13">
    <tableColumn id="2" name="TFS ID" dataDxfId="191" totalsRowDxfId="190" dataCellStyle="Hyperlink"/>
    <tableColumn id="3" name="Test case" dataDxfId="189" totalsRowDxfId="188"/>
    <tableColumn id="8" name="Automation Status" dataDxfId="187" totalsRowDxfId="186"/>
    <tableColumn id="12" name="Run Time" dataDxfId="185" totalsRowDxfId="184"/>
    <tableColumn id="5" name="Mode" dataDxfId="183" totalsRowDxfId="182"/>
    <tableColumn id="14" name="Cert Suite" dataDxfId="181" totalsRowDxfId="180"/>
    <tableColumn id="10" name="Note" dataDxfId="179"/>
    <tableColumn id="13" name="PS#/TFS# Issues" dataDxfId="178"/>
    <tableColumn id="4" name="TA# Issues" dataDxfId="177"/>
    <tableColumn id="7" name="Fail Type" dataDxfId="176"/>
    <tableColumn id="9" name="Stability" dataDxfId="175"/>
    <tableColumn id="11" name="Owner" dataDxfId="174"/>
    <tableColumn id="1" name="Last Updated Date" dataDxfId="173"/>
  </tableColumns>
  <tableStyleInfo name="TableStyleMedium6" showFirstColumn="0" showLastColumn="0" showRowStripes="0" showColumnStripes="0"/>
</table>
</file>

<file path=xl/tables/table2.xml><?xml version="1.0" encoding="utf-8"?>
<table xmlns="http://schemas.openxmlformats.org/spreadsheetml/2006/main" id="11" name="Table_2" displayName="Table_2" ref="A149:M276" headerRowDxfId="172" dataDxfId="170" headerRowBorderDxfId="171" tableBorderDxfId="169" totalsRowBorderDxfId="168" headerRowCellStyle="Accent1">
  <autoFilter ref="A149:M276"/>
  <sortState ref="A294:H339">
    <sortCondition ref="A2:A61"/>
  </sortState>
  <tableColumns count="13">
    <tableColumn id="2" name="TFS ID" dataDxfId="167" dataCellStyle="Hyperlink"/>
    <tableColumn id="3" name="Test case" dataDxfId="166"/>
    <tableColumn id="8" name="Automation Status" dataDxfId="165"/>
    <tableColumn id="12" name="Run Time" dataDxfId="164"/>
    <tableColumn id="9" name="Mode" dataDxfId="163"/>
    <tableColumn id="14" name="Cert Suite" dataDxfId="162"/>
    <tableColumn id="10" name="Note" dataDxfId="161"/>
    <tableColumn id="13" name="PS#/TFS# Issues" dataDxfId="160"/>
    <tableColumn id="4" name="TA# Issues" dataDxfId="159"/>
    <tableColumn id="5" name="Fail Type" dataDxfId="158"/>
    <tableColumn id="6" name="Stability" dataDxfId="157"/>
    <tableColumn id="7" name="Owner" dataDxfId="156"/>
    <tableColumn id="1" name="Last Updated Date" dataDxfId="155"/>
  </tableColumns>
  <tableStyleInfo name="TableStyleMedium6" showFirstColumn="1" showLastColumn="0" showRowStripes="0" showColumnStripes="0"/>
</table>
</file>

<file path=xl/tables/table3.xml><?xml version="1.0" encoding="utf-8"?>
<table xmlns="http://schemas.openxmlformats.org/spreadsheetml/2006/main" id="1" name="Table_3" displayName="Table_3" ref="A279:M323" headerRowDxfId="154" dataDxfId="152" headerRowBorderDxfId="153" tableBorderDxfId="151" totalsRowBorderDxfId="150" headerRowCellStyle="Accent1">
  <autoFilter ref="A279:M323"/>
  <sortState ref="A556:H601">
    <sortCondition ref="A2:A61"/>
  </sortState>
  <tableColumns count="13">
    <tableColumn id="2" name="TFS ID" dataDxfId="149" totalsRowDxfId="148" dataCellStyle="Hyperlink"/>
    <tableColumn id="3" name="Test case" dataDxfId="147" totalsRowDxfId="146"/>
    <tableColumn id="8" name="Automation Status" dataDxfId="145" totalsRowDxfId="144"/>
    <tableColumn id="12" name="Run Time" dataDxfId="143" totalsRowDxfId="142"/>
    <tableColumn id="9" name="Mode" dataDxfId="141" totalsRowDxfId="140"/>
    <tableColumn id="14" name="Cert Suite" dataDxfId="139" totalsRowDxfId="138"/>
    <tableColumn id="10" name="Note" dataDxfId="137"/>
    <tableColumn id="13" name="PS#/TFS# Issues" dataDxfId="136"/>
    <tableColumn id="4" name="TA# Issues" dataDxfId="135"/>
    <tableColumn id="5" name="Fail Type" dataDxfId="134"/>
    <tableColumn id="6" name="Stability" dataDxfId="133"/>
    <tableColumn id="7" name="Owner" dataDxfId="132"/>
    <tableColumn id="1" name="Last Updated Date" dataDxfId="131"/>
  </tableColumns>
  <tableStyleInfo name="TableStyleMedium6" showFirstColumn="0" showLastColumn="0" showRowStripes="0" showColumnStripes="0"/>
</table>
</file>

<file path=xl/tables/table4.xml><?xml version="1.0" encoding="utf-8"?>
<table xmlns="http://schemas.openxmlformats.org/spreadsheetml/2006/main" id="13" name="Table_4" displayName="Table_4" ref="A326:M380" headerRowDxfId="130" dataDxfId="128" headerRowBorderDxfId="129" tableBorderDxfId="127" totalsRowBorderDxfId="126" headerRowCellStyle="Accent1">
  <autoFilter ref="A326:M380"/>
  <sortState ref="A650:H695">
    <sortCondition ref="A2:A61"/>
  </sortState>
  <tableColumns count="13">
    <tableColumn id="2" name="TFS ID" dataDxfId="125" totalsRowDxfId="124" dataCellStyle="Hyperlink"/>
    <tableColumn id="3" name="Test case" dataDxfId="123" totalsRowDxfId="122"/>
    <tableColumn id="8" name="Automation Status" dataDxfId="121" totalsRowDxfId="120"/>
    <tableColumn id="12" name="Run Time" dataDxfId="119" totalsRowDxfId="118"/>
    <tableColumn id="9" name="Mode" dataDxfId="117" totalsRowDxfId="116"/>
    <tableColumn id="14" name="Cert Suite" dataDxfId="115" totalsRowDxfId="114"/>
    <tableColumn id="10" name="Note" dataDxfId="113"/>
    <tableColumn id="13" name="PS#/TFS# Issues" dataDxfId="112"/>
    <tableColumn id="4" name="TA# Issues" dataDxfId="111"/>
    <tableColumn id="5" name="Fail Type" dataDxfId="110"/>
    <tableColumn id="6" name="Stability" dataDxfId="109"/>
    <tableColumn id="7" name="Owner" dataDxfId="108"/>
    <tableColumn id="1" name="Last Updated Date" dataDxfId="107"/>
  </tableColumns>
  <tableStyleInfo name="TableStyleMedium6" showFirstColumn="0" showLastColumn="0" showRowStripes="0" showColumnStripes="0"/>
</table>
</file>

<file path=xl/tables/table5.xml><?xml version="1.0" encoding="utf-8"?>
<table xmlns="http://schemas.openxmlformats.org/spreadsheetml/2006/main" id="17" name="Table_5" displayName="Table_5" ref="A383:M432" headerRowDxfId="106" dataDxfId="104" headerRowBorderDxfId="105" tableBorderDxfId="103" totalsRowBorderDxfId="102" headerRowCellStyle="Accent1">
  <autoFilter ref="A383:M432"/>
  <sortState ref="A764:H809">
    <sortCondition ref="A2:A61"/>
  </sortState>
  <tableColumns count="13">
    <tableColumn id="2" name="TFS ID" dataDxfId="101" totalsRowDxfId="100" dataCellStyle="Hyperlink"/>
    <tableColumn id="3" name="Test case" dataDxfId="99" totalsRowDxfId="98"/>
    <tableColumn id="8" name="Automation Status" dataDxfId="97" totalsRowDxfId="96"/>
    <tableColumn id="12" name="Run Time" dataDxfId="95" totalsRowDxfId="94"/>
    <tableColumn id="9" name="Mode" dataDxfId="93" totalsRowDxfId="92"/>
    <tableColumn id="14" name="Cert Suite" dataDxfId="91" totalsRowDxfId="90"/>
    <tableColumn id="10" name="Note" dataDxfId="89"/>
    <tableColumn id="13" name="PS#/TFS# Issues" dataDxfId="88"/>
    <tableColumn id="4" name="TA# Issues" dataDxfId="87"/>
    <tableColumn id="5" name="Fail Type" dataDxfId="86"/>
    <tableColumn id="6" name="Stability" dataDxfId="85"/>
    <tableColumn id="7" name="Owner" dataDxfId="84"/>
    <tableColumn id="1" name="Last Updated Date" dataDxfId="83"/>
  </tableColumns>
  <tableStyleInfo name="TableStyleMedium6" showFirstColumn="0" showLastColumn="0" showRowStripes="0" showColumnStripes="0"/>
</table>
</file>

<file path=xl/tables/table6.xml><?xml version="1.0" encoding="utf-8"?>
<table xmlns="http://schemas.openxmlformats.org/spreadsheetml/2006/main" id="21" name="Table_6" displayName="Table_6" ref="A435:M485" headerRowDxfId="82" dataDxfId="80" headerRowBorderDxfId="81" tableBorderDxfId="79" totalsRowBorderDxfId="78" headerRowCellStyle="Accent1">
  <autoFilter ref="A435:M485"/>
  <sortState ref="A868:L905">
    <sortCondition ref="A3:A41"/>
  </sortState>
  <tableColumns count="13">
    <tableColumn id="2" name="TFS ID" dataDxfId="77" totalsRowDxfId="76" dataCellStyle="Hyperlink"/>
    <tableColumn id="3" name="Test case" dataDxfId="75" totalsRowDxfId="74"/>
    <tableColumn id="8" name="Automation Status" dataDxfId="73" totalsRowDxfId="72"/>
    <tableColumn id="12" name="Run Time" dataDxfId="71" totalsRowDxfId="70"/>
    <tableColumn id="9" name="Mode" dataDxfId="69" totalsRowDxfId="68"/>
    <tableColumn id="14" name="Cert Suite" dataDxfId="67" totalsRowDxfId="66"/>
    <tableColumn id="10" name="Note" dataDxfId="65"/>
    <tableColumn id="13" name="PS#/TFS# Issues" dataDxfId="64"/>
    <tableColumn id="4" name="TA# Issues" dataDxfId="63"/>
    <tableColumn id="5" name="Fail Type" dataDxfId="62"/>
    <tableColumn id="6" name="Stability" dataDxfId="61"/>
    <tableColumn id="7" name="Owner" dataDxfId="60"/>
    <tableColumn id="1" name="Last Updated Date" dataDxfId="59"/>
  </tableColumns>
  <tableStyleInfo name="TableStyleMedium6" showFirstColumn="0" showLastColumn="0" showRowStripes="0" showColumnStripes="0"/>
</table>
</file>

<file path=xl/tables/table7.xml><?xml version="1.0" encoding="utf-8"?>
<table xmlns="http://schemas.openxmlformats.org/spreadsheetml/2006/main" id="25" name="Table_7" displayName="Table_7" ref="A488:M520" headerRowDxfId="58" dataDxfId="56" headerRowBorderDxfId="57" tableBorderDxfId="55" totalsRowBorderDxfId="54" headerRowCellStyle="Accent1">
  <autoFilter ref="A488:M520"/>
  <sortState ref="A974:H1019">
    <sortCondition ref="A2:A61"/>
  </sortState>
  <tableColumns count="13">
    <tableColumn id="2" name="TFS ID" dataDxfId="53" totalsRowDxfId="52" dataCellStyle="Hyperlink"/>
    <tableColumn id="3" name="Test case" dataDxfId="51" totalsRowDxfId="50"/>
    <tableColumn id="8" name="Automation Status" dataDxfId="49" totalsRowDxfId="48"/>
    <tableColumn id="12" name="Run Time" dataDxfId="47" totalsRowDxfId="46"/>
    <tableColumn id="9" name="Mode" dataDxfId="45" totalsRowDxfId="44"/>
    <tableColumn id="14" name="Cert Suite" dataDxfId="43" totalsRowDxfId="42"/>
    <tableColumn id="10" name="Note" dataDxfId="41"/>
    <tableColumn id="13" name="PS#/TFS# Issues" dataDxfId="40"/>
    <tableColumn id="4" name="TA# Issues" dataDxfId="39"/>
    <tableColumn id="5" name="Fail Type" dataDxfId="38"/>
    <tableColumn id="6" name="Stability" dataDxfId="37"/>
    <tableColumn id="7" name="Owner" dataDxfId="36"/>
    <tableColumn id="1" name="Last Updated Date" dataDxfId="35"/>
  </tableColumns>
  <tableStyleInfo name="TableStyleMedium6" showFirstColumn="0" showLastColumn="0" showRowStripes="0" showColumnStripes="0"/>
</table>
</file>

<file path=xl/tables/table8.xml><?xml version="1.0" encoding="utf-8"?>
<table xmlns="http://schemas.openxmlformats.org/spreadsheetml/2006/main" id="54" name="TC_Status_Table" displayName="TC_Status_Table" ref="A1:A9" totalsRowShown="0" headerRowDxfId="33" dataDxfId="31" headerRowBorderDxfId="32" tableBorderDxfId="30" totalsRowBorderDxfId="29">
  <autoFilter ref="A1:A9"/>
  <tableColumns count="1">
    <tableColumn id="1" name="Test Case Status" dataDxfId="28"/>
  </tableColumns>
  <tableStyleInfo name="TableStyleMedium9" showFirstColumn="0" showLastColumn="0" showRowStripes="1" showColumnStripes="0"/>
</table>
</file>

<file path=xl/tables/table9.xml><?xml version="1.0" encoding="utf-8"?>
<table xmlns="http://schemas.openxmlformats.org/spreadsheetml/2006/main" id="61" name="Engineer_Table" displayName="Engineer_Table" ref="C1:C6" totalsRowShown="0" headerRowDxfId="27" dataDxfId="25" headerRowBorderDxfId="26" tableBorderDxfId="24" totalsRowBorderDxfId="23">
  <autoFilter ref="C1:C6"/>
  <tableColumns count="1">
    <tableColumn id="1" name="Engineer Names" dataDxfId="22"/>
  </tableColumns>
  <tableStyleInfo name="TableStyleMedium10" showFirstColumn="0" showLastColumn="0" showRowStripes="1" showColumnStripes="0"/>
</table>
</file>

<file path=xl/tables/table10.xml><?xml version="1.0" encoding="utf-8"?>
<table xmlns="http://schemas.openxmlformats.org/spreadsheetml/2006/main" id="76" name="Cert_Suite_Table" displayName="Cert_Suite_Table" ref="E1:E3" totalsRowShown="0" headerRowDxfId="21" dataDxfId="19" headerRowBorderDxfId="20" tableBorderDxfId="18" totalsRowBorderDxfId="17">
  <autoFilter ref="E1:E3"/>
  <tableColumns count="1">
    <tableColumn id="1" name="Cert Suite" dataDxfId="16"/>
  </tableColumns>
  <tableStyleInfo name="TableStyleMedium11" showFirstColumn="0" showLastColumn="0" showRowStripes="1" showColumnStripes="0"/>
</table>
</file>

<file path=xl/tables/table11.xml><?xml version="1.0" encoding="utf-8"?>
<table xmlns="http://schemas.openxmlformats.org/spreadsheetml/2006/main" id="77" name="Stability_Table" displayName="Stability_Table" ref="G1:G3" totalsRowShown="0" headerRowDxfId="15" dataDxfId="13" headerRowBorderDxfId="14" tableBorderDxfId="12" totalsRowBorderDxfId="11">
  <autoFilter ref="G1:G3"/>
  <tableColumns count="1">
    <tableColumn id="1" name="Stability" dataDxfId="10"/>
  </tableColumns>
  <tableStyleInfo name="TableStyleMedium12" showFirstColumn="0" showLastColumn="0" showRowStripes="1" showColumnStripes="0"/>
</table>
</file>

<file path=xl/tables/table12.xml><?xml version="1.0" encoding="utf-8"?>
<table xmlns="http://schemas.openxmlformats.org/spreadsheetml/2006/main" id="78" name="Fail_Type_Table" displayName="Fail_Type_Table" ref="I1:I4" totalsRowShown="0" headerRowDxfId="9" dataDxfId="7" headerRowBorderDxfId="8" tableBorderDxfId="6" totalsRowBorderDxfId="5">
  <autoFilter ref="I1:I4"/>
  <tableColumns count="1">
    <tableColumn id="1" name="Fail Type" dataDxfId="4"/>
  </tableColumns>
  <tableStyleInfo name="TableStyleMedium13" showFirstColumn="0" showLastColumn="0" showRowStripes="1" showColumnStripes="0"/>
</table>
</file>

<file path=xl/tables/table13.xml><?xml version="1.0" encoding="utf-8"?>
<table xmlns="http://schemas.openxmlformats.org/spreadsheetml/2006/main" id="2" name="Mode_Table" displayName="Mode_Table" ref="K1:K5" totalsRowShown="0" headerRowDxfId="3" dataDxfId="1" headerRowBorderDxfId="2">
  <autoFilter ref="K1:K5"/>
  <tableColumns count="1">
    <tableColumn id="1" name="Mode"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tfs.lmkr.net/tfs/DefaultCollection/LMKR/_workitems/edit/19554" TargetMode="External"/><Relationship Id="rId299" Type="http://schemas.openxmlformats.org/officeDocument/2006/relationships/hyperlink" Target="https://tfs.lmkr.net/tfs/web/UI/Pages/WorkItems/WorkItemEdit.aspx?id=23293&amp;pguid=cfec7082-5fcb-4dd8-a280-69cacc6e885d" TargetMode="External"/><Relationship Id="rId21" Type="http://schemas.openxmlformats.org/officeDocument/2006/relationships/hyperlink" Target="https://tfs.lmkr.net/tfs/DefaultCollection/LMKR/_workitems/edit/20326" TargetMode="External"/><Relationship Id="rId63" Type="http://schemas.openxmlformats.org/officeDocument/2006/relationships/hyperlink" Target="https://tfs.lmkr.net/tfs/DefaultCollection/LMKR/_workitems/edit/19351" TargetMode="External"/><Relationship Id="rId159" Type="http://schemas.openxmlformats.org/officeDocument/2006/relationships/hyperlink" Target="https://tfs.lmkr.net/tfs/DefaultCollection/LMKR/_workitems/edit/21563" TargetMode="External"/><Relationship Id="rId324" Type="http://schemas.openxmlformats.org/officeDocument/2006/relationships/hyperlink" Target="https://tfs.lmkr.net/tfs/web/UI/Pages/WorkItems/WorkItemEdit.aspx?id=24922&amp;pguid=cfec7082-5fcb-4dd8-a280-69cacc6e885d" TargetMode="External"/><Relationship Id="rId366" Type="http://schemas.openxmlformats.org/officeDocument/2006/relationships/hyperlink" Target="https://tfs.lmkr.net/tfs/web/UI/Pages/WorkItems/WorkItemEdit.aspx?id=32083&amp;pguid=cfec7082-5fcb-4dd8-a280-69cacc6e885d" TargetMode="External"/><Relationship Id="rId170" Type="http://schemas.openxmlformats.org/officeDocument/2006/relationships/hyperlink" Target="https://tfs.lmkr.net/tfs/DefaultCollection/LMKR/_workitems/edit/21594" TargetMode="External"/><Relationship Id="rId226" Type="http://schemas.openxmlformats.org/officeDocument/2006/relationships/hyperlink" Target="https://tfs.lmkr.net/tfs/DefaultCollection/LMKR/_workitems/edit/22887" TargetMode="External"/><Relationship Id="rId268" Type="http://schemas.openxmlformats.org/officeDocument/2006/relationships/hyperlink" Target="https://tfs.lmkr.net/tfs/web/UI/Pages/WorkItems/WorkItemEdit.aspx?id=23384&amp;pguid=cfec7082-5fcb-4dd8-a280-69cacc6e885d" TargetMode="External"/><Relationship Id="rId32" Type="http://schemas.openxmlformats.org/officeDocument/2006/relationships/hyperlink" Target="https://tfs.lmkr.net/tfs/DefaultCollection/LMKR/_workitems/edit/19390" TargetMode="External"/><Relationship Id="rId74" Type="http://schemas.openxmlformats.org/officeDocument/2006/relationships/hyperlink" Target="https://tfs.lmkr.net/tfs/DefaultCollection/LMKR/_workitems/edit/28890" TargetMode="External"/><Relationship Id="rId128" Type="http://schemas.openxmlformats.org/officeDocument/2006/relationships/hyperlink" Target="https://tfs.lmkr.net/tfs/DefaultCollection/LMKR/_workitems/edit/21274" TargetMode="External"/><Relationship Id="rId335" Type="http://schemas.openxmlformats.org/officeDocument/2006/relationships/hyperlink" Target="https://tfs.lmkr.net/tfs/web/UI/Pages/WorkItems/WorkItemEdit.aspx?id=24878&amp;pguid=cfec7082-5fcb-4dd8-a280-69cacc6e885d" TargetMode="External"/><Relationship Id="rId377" Type="http://schemas.openxmlformats.org/officeDocument/2006/relationships/hyperlink" Target="https://tfs.lmkr.net/tfs/web/UI/Pages/WorkItems/WorkItemEdit.aspx?id=25532&amp;pguid=cfec7082-5fcb-4dd8-a280-69cacc6e885d" TargetMode="External"/><Relationship Id="rId5" Type="http://schemas.openxmlformats.org/officeDocument/2006/relationships/hyperlink" Target="https://tfs.lmkr.net/tfs/DefaultCollection/LMKR/_workitems/edit/19349" TargetMode="External"/><Relationship Id="rId181" Type="http://schemas.openxmlformats.org/officeDocument/2006/relationships/hyperlink" Target="https://tfs.lmkr.net/tfs/DefaultCollection/LMKR/_workitems/edit/21568" TargetMode="External"/><Relationship Id="rId237" Type="http://schemas.openxmlformats.org/officeDocument/2006/relationships/hyperlink" Target="https://tfs.lmkr.net/tfs/DefaultCollection/LMKR/_workitems/edit/22876" TargetMode="External"/><Relationship Id="rId402" Type="http://schemas.openxmlformats.org/officeDocument/2006/relationships/hyperlink" Target="https://tfs.lmkr.net/tfs/web/UI/Pages/WorkItems/WorkItemEdit.aspx?id=25516&amp;pguid=cfec7082-5fcb-4dd8-a280-69cacc6e885d" TargetMode="External"/><Relationship Id="rId258" Type="http://schemas.openxmlformats.org/officeDocument/2006/relationships/hyperlink" Target="https://tfs.lmkr.net/tfs/web/UI/Pages/WorkItems/WorkItemEdit.aspx?id=23376&amp;pguid=cfec7082-5fcb-4dd8-a280-69cacc6e885d" TargetMode="External"/><Relationship Id="rId279" Type="http://schemas.openxmlformats.org/officeDocument/2006/relationships/hyperlink" Target="https://tfs.lmkr.net/tfs/web/UI/Pages/WorkItems/WorkItemEdit.aspx?id=23355&amp;pguid=cfec7082-5fcb-4dd8-a280-69cacc6e885d" TargetMode="External"/><Relationship Id="rId22" Type="http://schemas.openxmlformats.org/officeDocument/2006/relationships/hyperlink" Target="https://tfs.lmkr.net/tfs/DefaultCollection/LMKR/_workitems/edit/20327" TargetMode="External"/><Relationship Id="rId43" Type="http://schemas.openxmlformats.org/officeDocument/2006/relationships/hyperlink" Target="https://tfs.lmkr.net/tfs/DefaultCollection/LMKR/_workitems/edit/19550" TargetMode="External"/><Relationship Id="rId64" Type="http://schemas.openxmlformats.org/officeDocument/2006/relationships/hyperlink" Target="https://tfs.lmkr.net/tfs/DefaultCollection/LMKR/_workitems/edit/21126" TargetMode="External"/><Relationship Id="rId118" Type="http://schemas.openxmlformats.org/officeDocument/2006/relationships/hyperlink" Target="https://tfs.lmkr.net/tfs/DefaultCollection/LMKR/_workitems/edit/19553" TargetMode="External"/><Relationship Id="rId139" Type="http://schemas.openxmlformats.org/officeDocument/2006/relationships/hyperlink" Target="https://tfs.lmkr.net/tfs/DefaultCollection/LMKR/_workitems/edit/21269" TargetMode="External"/><Relationship Id="rId290" Type="http://schemas.openxmlformats.org/officeDocument/2006/relationships/hyperlink" Target="https://tfs.lmkr.net/tfs/web/UI/Pages/WorkItems/WorkItemEdit.aspx?id=23372&amp;pguid=cfec7082-5fcb-4dd8-a280-69cacc6e885d" TargetMode="External"/><Relationship Id="rId304" Type="http://schemas.openxmlformats.org/officeDocument/2006/relationships/hyperlink" Target="https://tfs.lmkr.net/tfs/web/UI/Pages/WorkItems/WorkItemEdit.aspx?id=25085&amp;pguid=cfec7082-5fcb-4dd8-a280-69cacc6e885d" TargetMode="External"/><Relationship Id="rId325" Type="http://schemas.openxmlformats.org/officeDocument/2006/relationships/hyperlink" Target="https://tfs.lmkr.net/tfs/web/UI/Pages/WorkItems/WorkItemEdit.aspx?id=24923&amp;pguid=cfec7082-5fcb-4dd8-a280-69cacc6e885d" TargetMode="External"/><Relationship Id="rId346" Type="http://schemas.openxmlformats.org/officeDocument/2006/relationships/hyperlink" Target="https://tfs.lmkr.net/tfs/web/UI/Pages/WorkItems/WorkItemEdit.aspx?id=25642&amp;pguid=cfec7082-5fcb-4dd8-a280-69cacc6e885d" TargetMode="External"/><Relationship Id="rId367" Type="http://schemas.openxmlformats.org/officeDocument/2006/relationships/hyperlink" Target="https://tfs.lmkr.net/tfs/web/UI/Pages/WorkItems/WorkItemEdit.aspx?id=32086&amp;pguid=cfec7082-5fcb-4dd8-a280-69cacc6e885d" TargetMode="External"/><Relationship Id="rId388" Type="http://schemas.openxmlformats.org/officeDocument/2006/relationships/hyperlink" Target="https://tfs.lmkr.net/tfs/web/UI/Pages/WorkItems/WorkItemEdit.aspx?id=25516&amp;pguid=cfec7082-5fcb-4dd8-a280-69cacc6e885d" TargetMode="External"/><Relationship Id="rId85" Type="http://schemas.openxmlformats.org/officeDocument/2006/relationships/hyperlink" Target="https://tfs.lmkr.net/tfs/DefaultCollection/LMKR/_workitems/edit/21146" TargetMode="External"/><Relationship Id="rId150" Type="http://schemas.openxmlformats.org/officeDocument/2006/relationships/hyperlink" Target="https://tfs.lmkr.net/tfs/DefaultCollection/LMKR/_workitems/edit/21562" TargetMode="External"/><Relationship Id="rId171" Type="http://schemas.openxmlformats.org/officeDocument/2006/relationships/hyperlink" Target="https://tfs.lmkr.net/tfs/DefaultCollection/LMKR/_workitems/edit/21557" TargetMode="External"/><Relationship Id="rId192" Type="http://schemas.openxmlformats.org/officeDocument/2006/relationships/hyperlink" Target="https://tfs.lmkr.net/tfs/web/wi.aspx?pcguid=30018faa-01b3-4ccb-92ec-14a111542996&amp;id=21337" TargetMode="External"/><Relationship Id="rId206" Type="http://schemas.openxmlformats.org/officeDocument/2006/relationships/hyperlink" Target="https://tfs.lmkr.net/tfs/web/wi.aspx?pcguid=30018faa-01b3-4ccb-92ec-14a111542996&amp;id=21619" TargetMode="External"/><Relationship Id="rId227" Type="http://schemas.openxmlformats.org/officeDocument/2006/relationships/hyperlink" Target="https://tfs.lmkr.net/tfs/DefaultCollection/LMKR/_workitems/edit/22891" TargetMode="External"/><Relationship Id="rId413" Type="http://schemas.openxmlformats.org/officeDocument/2006/relationships/table" Target="../tables/table2.xml"/><Relationship Id="rId248" Type="http://schemas.openxmlformats.org/officeDocument/2006/relationships/hyperlink" Target="https://tfs.lmkr.net/tfs/DefaultCollection/LMKR/_workitems/edit/22885" TargetMode="External"/><Relationship Id="rId269" Type="http://schemas.openxmlformats.org/officeDocument/2006/relationships/hyperlink" Target="https://tfs.lmkr.net/tfs/web/UI/Pages/WorkItems/WorkItemEdit.aspx?id=23382&amp;pguid=cfec7082-5fcb-4dd8-a280-69cacc6e885d" TargetMode="External"/><Relationship Id="rId12" Type="http://schemas.openxmlformats.org/officeDocument/2006/relationships/hyperlink" Target="https://tfs.lmkr.net/tfs/DefaultCollection/LMKR/_workitems/edit/19348" TargetMode="External"/><Relationship Id="rId33" Type="http://schemas.openxmlformats.org/officeDocument/2006/relationships/hyperlink" Target="https://tfs.lmkr.net/tfs/DefaultCollection/LMKR/_workitems/edit/19493" TargetMode="External"/><Relationship Id="rId108" Type="http://schemas.openxmlformats.org/officeDocument/2006/relationships/hyperlink" Target="https://tfs.lmkr.net/tfs/DefaultCollection/LMKR/_workitems/edit/19353" TargetMode="External"/><Relationship Id="rId129" Type="http://schemas.openxmlformats.org/officeDocument/2006/relationships/hyperlink" Target="https://tfs.lmkr.net/tfs/DefaultCollection/LMKR/_workitems/edit/21267" TargetMode="External"/><Relationship Id="rId280" Type="http://schemas.openxmlformats.org/officeDocument/2006/relationships/hyperlink" Target="https://tfs.lmkr.net/tfs/web/UI/Pages/WorkItems/WorkItemEdit.aspx?id=23356&amp;pguid=cfec7082-5fcb-4dd8-a280-69cacc6e885d" TargetMode="External"/><Relationship Id="rId315" Type="http://schemas.openxmlformats.org/officeDocument/2006/relationships/hyperlink" Target="https://tfs.lmkr.net/tfs/web/UI/Pages/WorkItems/WorkItemEdit.aspx?id=24842&amp;pguid=cfec7082-5fcb-4dd8-a280-69cacc6e885d" TargetMode="External"/><Relationship Id="rId336" Type="http://schemas.openxmlformats.org/officeDocument/2006/relationships/hyperlink" Target="https://tfs.lmkr.net/tfs/web/UI/Pages/WorkItems/WorkItemEdit.aspx?id=24837&amp;pguid=cfec7082-5fcb-4dd8-a280-69cacc6e885d" TargetMode="External"/><Relationship Id="rId357" Type="http://schemas.openxmlformats.org/officeDocument/2006/relationships/hyperlink" Target="https://tfs.lmkr.net/tfs/web/UI/Pages/WorkItems/WorkItemEdit.aspx?id=25626&amp;pguid=cfec7082-5fcb-4dd8-a280-69cacc6e885d" TargetMode="External"/><Relationship Id="rId54" Type="http://schemas.openxmlformats.org/officeDocument/2006/relationships/hyperlink" Target="https://tfs.lmkr.net/tfs/DefaultCollection/LMKR/_workitems/edit/19557" TargetMode="External"/><Relationship Id="rId75" Type="http://schemas.openxmlformats.org/officeDocument/2006/relationships/hyperlink" Target="https://tfs.lmkr.net/tfs/DefaultCollection/LMKR/_workitems/edit/19406" TargetMode="External"/><Relationship Id="rId96" Type="http://schemas.openxmlformats.org/officeDocument/2006/relationships/hyperlink" Target="https://tfs.lmkr.net/tfs/DefaultCollection/LMKR/_workitems/edit/20217" TargetMode="External"/><Relationship Id="rId140" Type="http://schemas.openxmlformats.org/officeDocument/2006/relationships/hyperlink" Target="https://tfs.lmkr.net/tfs/DefaultCollection/LMKR/_workitems/edit/21495" TargetMode="External"/><Relationship Id="rId161" Type="http://schemas.openxmlformats.org/officeDocument/2006/relationships/hyperlink" Target="https://tfs.lmkr.net/tfs/DefaultCollection/LMKR/_workitems/edit/21564" TargetMode="External"/><Relationship Id="rId182" Type="http://schemas.openxmlformats.org/officeDocument/2006/relationships/hyperlink" Target="https://tfs.lmkr.net/tfs/DefaultCollection/LMKR/_workitems/edit/21601" TargetMode="External"/><Relationship Id="rId217" Type="http://schemas.openxmlformats.org/officeDocument/2006/relationships/hyperlink" Target="Client_Email_Backup\RE%20LMKR-GGX%20Please%20help%20assign%20new%20test%20cases%20for%20automation..msg" TargetMode="External"/><Relationship Id="rId378" Type="http://schemas.openxmlformats.org/officeDocument/2006/relationships/hyperlink" Target="https://tfs.lmkr.net/tfs/web/UI/Pages/WorkItems/WorkItemEdit.aspx?id=25563&amp;pguid=cfec7082-5fcb-4dd8-a280-69cacc6e885d" TargetMode="External"/><Relationship Id="rId399" Type="http://schemas.openxmlformats.org/officeDocument/2006/relationships/hyperlink" Target="https://tfs.lmkr.net/tfs/web/UI/Pages/WorkItems/WorkItemEdit.aspx?id=25514&amp;pguid=cfec7082-5fcb-4dd8-a280-69cacc6e885d" TargetMode="External"/><Relationship Id="rId403" Type="http://schemas.openxmlformats.org/officeDocument/2006/relationships/hyperlink" Target="https://tfs.lmkr.net/tfs/web/UI/Pages/WorkItems/WorkItemEdit.aspx?id=25491&amp;pguid=cfec7082-5fcb-4dd8-a280-69cacc6e885d" TargetMode="External"/><Relationship Id="rId6" Type="http://schemas.openxmlformats.org/officeDocument/2006/relationships/hyperlink" Target="https://tfs.lmkr.net/tfs/DefaultCollection/LMKR/_workitems/edit/19361" TargetMode="External"/><Relationship Id="rId238" Type="http://schemas.openxmlformats.org/officeDocument/2006/relationships/hyperlink" Target="https://tfs.lmkr.net/tfs/DefaultCollection/LMKR/_workitems/edit/22925" TargetMode="External"/><Relationship Id="rId259" Type="http://schemas.openxmlformats.org/officeDocument/2006/relationships/hyperlink" Target="https://tfs.lmkr.net/tfs/web/UI/Pages/WorkItems/WorkItemEdit.aspx?id=23381&amp;pguid=cfec7082-5fcb-4dd8-a280-69cacc6e885d" TargetMode="External"/><Relationship Id="rId23" Type="http://schemas.openxmlformats.org/officeDocument/2006/relationships/hyperlink" Target="https://tfs.lmkr.net/tfs/DefaultCollection/LMKR/_workitems/edit/21169" TargetMode="External"/><Relationship Id="rId119" Type="http://schemas.openxmlformats.org/officeDocument/2006/relationships/hyperlink" Target="https://tfs.lmkr.net/tfs/DefaultCollection/LMKR/_workitems/edit/19552" TargetMode="External"/><Relationship Id="rId270" Type="http://schemas.openxmlformats.org/officeDocument/2006/relationships/hyperlink" Target="https://tfs.lmkr.net/tfs/web/UI/Pages/WorkItems/WorkItemEdit.aspx?id=23386&amp;pguid=cfec7082-5fcb-4dd8-a280-69cacc6e885d" TargetMode="External"/><Relationship Id="rId291" Type="http://schemas.openxmlformats.org/officeDocument/2006/relationships/hyperlink" Target="https://tfs.lmkr.net/tfs/web/UI/Pages/WorkItems/WorkItemEdit.aspx?id=23386&amp;pguid=cfec7082-5fcb-4dd8-a280-69cacc6e885d" TargetMode="External"/><Relationship Id="rId305" Type="http://schemas.openxmlformats.org/officeDocument/2006/relationships/hyperlink" Target="https://tfs.lmkr.net/tfs/web/UI/Pages/WorkItems/WorkItemEdit.aspx?id=24840&amp;pguid=cfec7082-5fcb-4dd8-a280-69cacc6e885d" TargetMode="External"/><Relationship Id="rId326" Type="http://schemas.openxmlformats.org/officeDocument/2006/relationships/hyperlink" Target="https://tfs.lmkr.net/tfs/web/UI/Pages/WorkItems/WorkItemEdit.aspx?id=24924&amp;pguid=cfec7082-5fcb-4dd8-a280-69cacc6e885d" TargetMode="External"/><Relationship Id="rId347" Type="http://schemas.openxmlformats.org/officeDocument/2006/relationships/hyperlink" Target="https://tfs.lmkr.net/tfs/web/UI/Pages/WorkItems/WorkItemEdit.aspx?id=25643&amp;pguid=cfec7082-5fcb-4dd8-a280-69cacc6e885d" TargetMode="External"/><Relationship Id="rId44" Type="http://schemas.openxmlformats.org/officeDocument/2006/relationships/hyperlink" Target="https://tfs.lmkr.net/tfs/DefaultCollection/LMKR/_workitems/edit/19551" TargetMode="External"/><Relationship Id="rId65" Type="http://schemas.openxmlformats.org/officeDocument/2006/relationships/hyperlink" Target="https://tfs.lmkr.net/tfs/DefaultCollection/LMKR/_workitems/edit/19362" TargetMode="External"/><Relationship Id="rId86" Type="http://schemas.openxmlformats.org/officeDocument/2006/relationships/hyperlink" Target="https://tfs.lmkr.net/tfs/DefaultCollection/LMKR/_workitems/edit/21155" TargetMode="External"/><Relationship Id="rId130" Type="http://schemas.openxmlformats.org/officeDocument/2006/relationships/hyperlink" Target="https://tfs.lmkr.net/tfs/DefaultCollection/LMKR/_workitems/edit/21268" TargetMode="External"/><Relationship Id="rId151" Type="http://schemas.openxmlformats.org/officeDocument/2006/relationships/hyperlink" Target="https://tfs.lmkr.net/tfs/DefaultCollection/LMKR/_workitems/edit/21553" TargetMode="External"/><Relationship Id="rId368" Type="http://schemas.openxmlformats.org/officeDocument/2006/relationships/hyperlink" Target="https://tfs.lmkr.net/tfs/web/UI/Pages/WorkItems/WorkItemEdit.aspx?id=32108&amp;pguid=cfec7082-5fcb-4dd8-a280-69cacc6e885d" TargetMode="External"/><Relationship Id="rId389" Type="http://schemas.openxmlformats.org/officeDocument/2006/relationships/hyperlink" Target="https://tfs.lmkr.net/tfs/web/UI/Pages/WorkItems/WorkItemEdit.aspx?id=25491&amp;pguid=cfec7082-5fcb-4dd8-a280-69cacc6e885d" TargetMode="External"/><Relationship Id="rId172" Type="http://schemas.openxmlformats.org/officeDocument/2006/relationships/hyperlink" Target="https://tfs.lmkr.net/tfs/DefaultCollection/LMKR/_workitems/edit/21595" TargetMode="External"/><Relationship Id="rId193" Type="http://schemas.openxmlformats.org/officeDocument/2006/relationships/hyperlink" Target="https://tfs.lmkr.net/tfs/web/wi.aspx?pcguid=30018faa-01b3-4ccb-92ec-14a111542996&amp;id=21279" TargetMode="External"/><Relationship Id="rId207" Type="http://schemas.openxmlformats.org/officeDocument/2006/relationships/hyperlink" Target="https://tfs.lmkr.net/tfs/web/wi.aspx?pcguid=30018faa-01b3-4ccb-92ec-14a111542996&amp;id=21621" TargetMode="External"/><Relationship Id="rId228" Type="http://schemas.openxmlformats.org/officeDocument/2006/relationships/hyperlink" Target="https://tfs.lmkr.net/tfs/DefaultCollection/LMKR/_workitems/edit/22884" TargetMode="External"/><Relationship Id="rId249" Type="http://schemas.openxmlformats.org/officeDocument/2006/relationships/hyperlink" Target="https://tfs.lmkr.net/tfs/DefaultCollection/LMKR/_workitems/edit/22886" TargetMode="External"/><Relationship Id="rId414" Type="http://schemas.openxmlformats.org/officeDocument/2006/relationships/table" Target="../tables/table3.xml"/><Relationship Id="rId13" Type="http://schemas.openxmlformats.org/officeDocument/2006/relationships/hyperlink" Target="https://tfs.lmkr.net/tfs/DefaultCollection/LMKR/_workitems/edit/20181" TargetMode="External"/><Relationship Id="rId109" Type="http://schemas.openxmlformats.org/officeDocument/2006/relationships/hyperlink" Target="https://tfs.lmkr.net/tfs/DefaultCollection/LMKR/_workitems/edit/19717" TargetMode="External"/><Relationship Id="rId260" Type="http://schemas.openxmlformats.org/officeDocument/2006/relationships/hyperlink" Target="https://tfs.lmkr.net/tfs/web/UI/Pages/WorkItems/WorkItemEdit.aspx?id=23380&amp;pguid=cfec7082-5fcb-4dd8-a280-69cacc6e885d" TargetMode="External"/><Relationship Id="rId281" Type="http://schemas.openxmlformats.org/officeDocument/2006/relationships/hyperlink" Target="https://tfs.lmkr.net/tfs/web/UI/Pages/WorkItems/WorkItemEdit.aspx?id=23294&amp;pguid=cfec7082-5fcb-4dd8-a280-69cacc6e885d" TargetMode="External"/><Relationship Id="rId316" Type="http://schemas.openxmlformats.org/officeDocument/2006/relationships/hyperlink" Target="https://tfs.lmkr.net/tfs/web/UI/Pages/WorkItems/WorkItemEdit.aspx?id=24838&amp;pguid=cfec7082-5fcb-4dd8-a280-69cacc6e885d" TargetMode="External"/><Relationship Id="rId337" Type="http://schemas.openxmlformats.org/officeDocument/2006/relationships/hyperlink" Target="https://tfs.lmkr.net/tfs/web/UI/Pages/WorkItems/WorkItemEdit.aspx?id=24842&amp;pguid=cfec7082-5fcb-4dd8-a280-69cacc6e885d" TargetMode="External"/><Relationship Id="rId34" Type="http://schemas.openxmlformats.org/officeDocument/2006/relationships/hyperlink" Target="https://tfs.lmkr.net/tfs/DefaultCollection/LMKR/_workitems/edit/20268" TargetMode="External"/><Relationship Id="rId55" Type="http://schemas.openxmlformats.org/officeDocument/2006/relationships/hyperlink" Target="https://tfs.lmkr.net/tfs/DefaultCollection/LMKR/_workitems/edit/20014" TargetMode="External"/><Relationship Id="rId76" Type="http://schemas.openxmlformats.org/officeDocument/2006/relationships/hyperlink" Target="https://tfs.lmkr.net/tfs/DefaultCollection/LMKR/_workitems/edit/19405" TargetMode="External"/><Relationship Id="rId97" Type="http://schemas.openxmlformats.org/officeDocument/2006/relationships/hyperlink" Target="https://tfs.lmkr.net/tfs/DefaultCollection/LMKR/_workitems/edit/21125" TargetMode="External"/><Relationship Id="rId120" Type="http://schemas.openxmlformats.org/officeDocument/2006/relationships/hyperlink" Target="https://tfs.lmkr.net/tfs/DefaultCollection/LMKR/_workitems/edit/19551" TargetMode="External"/><Relationship Id="rId141" Type="http://schemas.openxmlformats.org/officeDocument/2006/relationships/hyperlink" Target="https://tfs.lmkr.net/tfs/DefaultCollection/LMKR/_workitems/edit/21271" TargetMode="External"/><Relationship Id="rId358" Type="http://schemas.openxmlformats.org/officeDocument/2006/relationships/hyperlink" Target="https://tfs.lmkr.net/tfs/web/UI/Pages/WorkItems/WorkItemEdit.aspx?id=25581&amp;pguid=cfec7082-5fcb-4dd8-a280-69cacc6e885d" TargetMode="External"/><Relationship Id="rId379" Type="http://schemas.openxmlformats.org/officeDocument/2006/relationships/hyperlink" Target="https://tfs.lmkr.net/tfs/web/UI/Pages/WorkItems/WorkItemEdit.aspx?id=25560&amp;pguid=cfec7082-5fcb-4dd8-a280-69cacc6e885d" TargetMode="External"/><Relationship Id="rId7" Type="http://schemas.openxmlformats.org/officeDocument/2006/relationships/hyperlink" Target="https://tfs.lmkr.net/tfs/DefaultCollection/LMKR/_workitems/edit/19351" TargetMode="External"/><Relationship Id="rId162" Type="http://schemas.openxmlformats.org/officeDocument/2006/relationships/hyperlink" Target="https://tfs.lmkr.net/tfs/DefaultCollection/LMKR/_workitems/edit/21566" TargetMode="External"/><Relationship Id="rId183" Type="http://schemas.openxmlformats.org/officeDocument/2006/relationships/hyperlink" Target="https://tfs.lmkr.net/tfs/DefaultCollection/LMKR/_workitems/edit/21570" TargetMode="External"/><Relationship Id="rId218" Type="http://schemas.openxmlformats.org/officeDocument/2006/relationships/hyperlink" Target="Client_Email_Backup\RE%20LMKR-GGX%20Please%20help%20assign%20new%20test%20cases%20for%20automation..msg" TargetMode="External"/><Relationship Id="rId239" Type="http://schemas.openxmlformats.org/officeDocument/2006/relationships/hyperlink" Target="https://tfs.lmkr.net/tfs/DefaultCollection/LMKR/_workitems/edit/22873" TargetMode="External"/><Relationship Id="rId390" Type="http://schemas.openxmlformats.org/officeDocument/2006/relationships/hyperlink" Target="https://tfs.lmkr.net/tfs/web/UI/Pages/WorkItems/WorkItemEdit.aspx?id=25512&amp;pguid=cfec7082-5fcb-4dd8-a280-69cacc6e885d" TargetMode="External"/><Relationship Id="rId404" Type="http://schemas.openxmlformats.org/officeDocument/2006/relationships/hyperlink" Target="https://tfs.lmkr.net/tfs/web/UI/Pages/WorkItems/WorkItemEdit.aspx?id=25512&amp;pguid=cfec7082-5fcb-4dd8-a280-69cacc6e885d" TargetMode="External"/><Relationship Id="rId250" Type="http://schemas.openxmlformats.org/officeDocument/2006/relationships/hyperlink" Target="https://tfs.lmkr.net/tfs/DefaultCollection/LMKR/_workitems/edit/22889" TargetMode="External"/><Relationship Id="rId271" Type="http://schemas.openxmlformats.org/officeDocument/2006/relationships/hyperlink" Target="https://tfs.lmkr.net/tfs/web/UI/Pages/WorkItems/WorkItemEdit.aspx?id=23374&amp;pguid=cfec7082-5fcb-4dd8-a280-69cacc6e885d" TargetMode="External"/><Relationship Id="rId292" Type="http://schemas.openxmlformats.org/officeDocument/2006/relationships/hyperlink" Target="https://tfs.lmkr.net/tfs/web/UI/Pages/WorkItems/WorkItemEdit.aspx?id=23382&amp;pguid=cfec7082-5fcb-4dd8-a280-69cacc6e885d" TargetMode="External"/><Relationship Id="rId306" Type="http://schemas.openxmlformats.org/officeDocument/2006/relationships/hyperlink" Target="https://tfs.lmkr.net/tfs/web/UI/Pages/WorkItems/WorkItemEdit.aspx?id=24839&amp;pguid=cfec7082-5fcb-4dd8-a280-69cacc6e885d" TargetMode="External"/><Relationship Id="rId24" Type="http://schemas.openxmlformats.org/officeDocument/2006/relationships/hyperlink" Target="https://tfs.lmkr.net/tfs/DefaultCollection/LMKR/_workitems/edit/28806" TargetMode="External"/><Relationship Id="rId45" Type="http://schemas.openxmlformats.org/officeDocument/2006/relationships/hyperlink" Target="https://tfs.lmkr.net/tfs/DefaultCollection/LMKR/_workitems/edit/19552" TargetMode="External"/><Relationship Id="rId66" Type="http://schemas.openxmlformats.org/officeDocument/2006/relationships/hyperlink" Target="https://tfs.lmkr.net/tfs/DefaultCollection/LMKR/_workitems/edit/19343" TargetMode="External"/><Relationship Id="rId87" Type="http://schemas.openxmlformats.org/officeDocument/2006/relationships/hyperlink" Target="https://tfs.lmkr.net/tfs/DefaultCollection/LMKR/_workitems/edit/21152" TargetMode="External"/><Relationship Id="rId110" Type="http://schemas.openxmlformats.org/officeDocument/2006/relationships/hyperlink" Target="https://tfs.lmkr.net/tfs/DefaultCollection/LMKR/_workitems/edit/20014" TargetMode="External"/><Relationship Id="rId131" Type="http://schemas.openxmlformats.org/officeDocument/2006/relationships/hyperlink" Target="https://tfs.lmkr.net/tfs/DefaultCollection/LMKR/_workitems/edit/21270" TargetMode="External"/><Relationship Id="rId327" Type="http://schemas.openxmlformats.org/officeDocument/2006/relationships/hyperlink" Target="https://tfs.lmkr.net/tfs/web/UI/Pages/WorkItems/WorkItemEdit.aspx?id=24925&amp;pguid=cfec7082-5fcb-4dd8-a280-69cacc6e885d" TargetMode="External"/><Relationship Id="rId348" Type="http://schemas.openxmlformats.org/officeDocument/2006/relationships/hyperlink" Target="https://tfs.lmkr.net/tfs/web/UI/Pages/WorkItems/WorkItemEdit.aspx?id=25644&amp;pguid=cfec7082-5fcb-4dd8-a280-69cacc6e885d" TargetMode="External"/><Relationship Id="rId369" Type="http://schemas.openxmlformats.org/officeDocument/2006/relationships/hyperlink" Target="https://tfs.lmkr.net/tfs/web/UI/Pages/WorkItems/WorkItemEdit.aspx?id=28362&amp;pguid=cfec7082-5fcb-4dd8-a280-69cacc6e885d" TargetMode="External"/><Relationship Id="rId152" Type="http://schemas.openxmlformats.org/officeDocument/2006/relationships/hyperlink" Target="https://tfs.lmkr.net/tfs/DefaultCollection/LMKR/_workitems/edit/21555" TargetMode="External"/><Relationship Id="rId173" Type="http://schemas.openxmlformats.org/officeDocument/2006/relationships/hyperlink" Target="https://tfs.lmkr.net/tfs/DefaultCollection/LMKR/_workitems/edit/21558" TargetMode="External"/><Relationship Id="rId194" Type="http://schemas.openxmlformats.org/officeDocument/2006/relationships/hyperlink" Target="https://tfs.lmkr.net/tfs/web/wi.aspx?pcguid=30018faa-01b3-4ccb-92ec-14a111542996&amp;id=32229" TargetMode="External"/><Relationship Id="rId208" Type="http://schemas.openxmlformats.org/officeDocument/2006/relationships/hyperlink" Target="https://tfs.lmkr.net/tfs/web/wi.aspx?pcguid=30018faa-01b3-4ccb-92ec-14a111542996&amp;id=21623" TargetMode="External"/><Relationship Id="rId229" Type="http://schemas.openxmlformats.org/officeDocument/2006/relationships/hyperlink" Target="https://tfs.lmkr.net/tfs/DefaultCollection/LMKR/_workitems/edit/22892" TargetMode="External"/><Relationship Id="rId380" Type="http://schemas.openxmlformats.org/officeDocument/2006/relationships/hyperlink" Target="https://tfs.lmkr.net/tfs/web/UI/Pages/WorkItems/WorkItemEdit.aspx?id=25553&amp;pguid=cfec7082-5fcb-4dd8-a280-69cacc6e885d" TargetMode="External"/><Relationship Id="rId415" Type="http://schemas.openxmlformats.org/officeDocument/2006/relationships/table" Target="../tables/table4.xml"/><Relationship Id="rId240" Type="http://schemas.openxmlformats.org/officeDocument/2006/relationships/hyperlink" Target="https://tfs.lmkr.net/tfs/DefaultCollection/LMKR/_workitems/edit/22875" TargetMode="External"/><Relationship Id="rId261" Type="http://schemas.openxmlformats.org/officeDocument/2006/relationships/hyperlink" Target="https://tfs.lmkr.net/tfs/web/UI/Pages/WorkItems/WorkItemEdit.aspx?id=23383&amp;pguid=cfec7082-5fcb-4dd8-a280-69cacc6e885d" TargetMode="External"/><Relationship Id="rId14" Type="http://schemas.openxmlformats.org/officeDocument/2006/relationships/hyperlink" Target="https://tfs.lmkr.net/tfs/DefaultCollection/LMKR/_workitems/edit/19350" TargetMode="External"/><Relationship Id="rId35" Type="http://schemas.openxmlformats.org/officeDocument/2006/relationships/hyperlink" Target="https://tfs.lmkr.net/tfs/DefaultCollection/LMKR/_workitems/edit/20267" TargetMode="External"/><Relationship Id="rId56" Type="http://schemas.openxmlformats.org/officeDocument/2006/relationships/hyperlink" Target="https://tfs.lmkr.net/tfs/DefaultCollection/LMKR/_workitems/edit/19722" TargetMode="External"/><Relationship Id="rId77" Type="http://schemas.openxmlformats.org/officeDocument/2006/relationships/hyperlink" Target="https://tfs.lmkr.net/tfs/DefaultCollection/LMKR/_workitems/edit/19964" TargetMode="External"/><Relationship Id="rId100" Type="http://schemas.openxmlformats.org/officeDocument/2006/relationships/hyperlink" Target="https://tfs.lmkr.net/tfs/DefaultCollection/LMKR/_workitems/edit/21120" TargetMode="External"/><Relationship Id="rId282" Type="http://schemas.openxmlformats.org/officeDocument/2006/relationships/hyperlink" Target="https://tfs.lmkr.net/tfs/web/UI/Pages/WorkItems/WorkItemEdit.aspx?id=23376&amp;pguid=cfec7082-5fcb-4dd8-a280-69cacc6e885d" TargetMode="External"/><Relationship Id="rId317" Type="http://schemas.openxmlformats.org/officeDocument/2006/relationships/hyperlink" Target="https://tfs.lmkr.net/tfs/web/UI/Pages/WorkItems/WorkItemEdit.aspx?id=24858&amp;pguid=cfec7082-5fcb-4dd8-a280-69cacc6e885d" TargetMode="External"/><Relationship Id="rId338" Type="http://schemas.openxmlformats.org/officeDocument/2006/relationships/hyperlink" Target="https://tfs.lmkr.net/tfs/web/UI/Pages/WorkItems/WorkItemEdit.aspx?id=24838&amp;pguid=cfec7082-5fcb-4dd8-a280-69cacc6e885d" TargetMode="External"/><Relationship Id="rId359" Type="http://schemas.openxmlformats.org/officeDocument/2006/relationships/hyperlink" Target="https://tfs.lmkr.net/tfs/web/UI/Pages/WorkItems/WorkItemEdit.aspx?id=25563&amp;pguid=cfec7082-5fcb-4dd8-a280-69cacc6e885d" TargetMode="External"/><Relationship Id="rId8" Type="http://schemas.openxmlformats.org/officeDocument/2006/relationships/hyperlink" Target="https://tfs.lmkr.net/tfs/DefaultCollection/LMKR/_workitems/edit/19356" TargetMode="External"/><Relationship Id="rId98" Type="http://schemas.openxmlformats.org/officeDocument/2006/relationships/hyperlink" Target="https://tfs.lmkr.net/tfs/DefaultCollection/LMKR/_workitems/edit/21118" TargetMode="External"/><Relationship Id="rId121" Type="http://schemas.openxmlformats.org/officeDocument/2006/relationships/hyperlink" Target="https://tfs.lmkr.net/tfs/DefaultCollection/LMKR/_workitems/edit/19550" TargetMode="External"/><Relationship Id="rId142" Type="http://schemas.openxmlformats.org/officeDocument/2006/relationships/hyperlink" Target="https://tfs.lmkr.net/tfs/DefaultCollection/LMKR/_workitems/edit/19338" TargetMode="External"/><Relationship Id="rId163" Type="http://schemas.openxmlformats.org/officeDocument/2006/relationships/hyperlink" Target="https://tfs.lmkr.net/tfs/DefaultCollection/LMKR/_workitems/edit/21577" TargetMode="External"/><Relationship Id="rId184" Type="http://schemas.openxmlformats.org/officeDocument/2006/relationships/hyperlink" Target="https://tfs.lmkr.net/tfs/DefaultCollection/LMKR/_workitems/edit/21600" TargetMode="External"/><Relationship Id="rId219" Type="http://schemas.openxmlformats.org/officeDocument/2006/relationships/hyperlink" Target="Client_Email_Backup\RE%20LMKR-GGX%20Please%20help%20assign%20new%20test%20cases%20for%20automation..msg" TargetMode="External"/><Relationship Id="rId370" Type="http://schemas.openxmlformats.org/officeDocument/2006/relationships/hyperlink" Target="https://tfs.lmkr.net/tfs/web/UI/Pages/WorkItems/WorkItemEdit.aspx?id=33253&amp;pguid=cfec7082-5fcb-4dd8-a280-69cacc6e885d" TargetMode="External"/><Relationship Id="rId391" Type="http://schemas.openxmlformats.org/officeDocument/2006/relationships/hyperlink" Target="https://tfs.lmkr.net/tfs/web/UI/Pages/WorkItems/WorkItemEdit.aspx?id=25514&amp;pguid=cfec7082-5fcb-4dd8-a280-69cacc6e885d" TargetMode="External"/><Relationship Id="rId405" Type="http://schemas.openxmlformats.org/officeDocument/2006/relationships/hyperlink" Target="https://tfs.lmkr.net/tfs/web/UI/Pages/WorkItems/WorkItemEdit.aspx?id=25514&amp;pguid=cfec7082-5fcb-4dd8-a280-69cacc6e885d" TargetMode="External"/><Relationship Id="rId230" Type="http://schemas.openxmlformats.org/officeDocument/2006/relationships/hyperlink" Target="https://tfs.lmkr.net/tfs/DefaultCollection/LMKR/_workitems/edit/22888" TargetMode="External"/><Relationship Id="rId251" Type="http://schemas.openxmlformats.org/officeDocument/2006/relationships/hyperlink" Target="https://tfs.lmkr.net/tfs/DefaultCollection/LMKR/_workitems/edit/22870" TargetMode="External"/><Relationship Id="rId25" Type="http://schemas.openxmlformats.org/officeDocument/2006/relationships/hyperlink" Target="https://tfs.lmkr.net/tfs/DefaultCollection/LMKR/_workitems/edit/20182" TargetMode="External"/><Relationship Id="rId46" Type="http://schemas.openxmlformats.org/officeDocument/2006/relationships/hyperlink" Target="https://tfs.lmkr.net/tfs/DefaultCollection/LMKR/_workitems/edit/19553" TargetMode="External"/><Relationship Id="rId67" Type="http://schemas.openxmlformats.org/officeDocument/2006/relationships/hyperlink" Target="https://tfs.lmkr.net/tfs/DefaultCollection/LMKR/_workitems/edit/19350" TargetMode="External"/><Relationship Id="rId272" Type="http://schemas.openxmlformats.org/officeDocument/2006/relationships/hyperlink" Target="https://tfs.lmkr.net/tfs/web/UI/Pages/WorkItems/WorkItemEdit.aspx?id=23372&amp;pguid=cfec7082-5fcb-4dd8-a280-69cacc6e885d" TargetMode="External"/><Relationship Id="rId293" Type="http://schemas.openxmlformats.org/officeDocument/2006/relationships/hyperlink" Target="https://tfs.lmkr.net/tfs/web/UI/Pages/WorkItems/WorkItemEdit.aspx?id=23384&amp;pguid=cfec7082-5fcb-4dd8-a280-69cacc6e885d" TargetMode="External"/><Relationship Id="rId307" Type="http://schemas.openxmlformats.org/officeDocument/2006/relationships/hyperlink" Target="https://tfs.lmkr.net/tfs/web/UI/Pages/WorkItems/WorkItemEdit.aspx?id=24932&amp;pguid=cfec7082-5fcb-4dd8-a280-69cacc6e885d" TargetMode="External"/><Relationship Id="rId328" Type="http://schemas.openxmlformats.org/officeDocument/2006/relationships/hyperlink" Target="https://tfs.lmkr.net/tfs/web/UI/Pages/WorkItems/WorkItemEdit.aspx?id=25086&amp;pguid=cfec7082-5fcb-4dd8-a280-69cacc6e885d" TargetMode="External"/><Relationship Id="rId349" Type="http://schemas.openxmlformats.org/officeDocument/2006/relationships/hyperlink" Target="https://tfs.lmkr.net/tfs/web/UI/Pages/WorkItems/WorkItemEdit.aspx?id=25570&amp;pguid=cfec7082-5fcb-4dd8-a280-69cacc6e885d" TargetMode="External"/><Relationship Id="rId88" Type="http://schemas.openxmlformats.org/officeDocument/2006/relationships/hyperlink" Target="https://tfs.lmkr.net/tfs/DefaultCollection/LMKR/_workitems/edit/21147" TargetMode="External"/><Relationship Id="rId111" Type="http://schemas.openxmlformats.org/officeDocument/2006/relationships/hyperlink" Target="https://tfs.lmkr.net/tfs/DefaultCollection/LMKR/_workitems/edit/19557" TargetMode="External"/><Relationship Id="rId132" Type="http://schemas.openxmlformats.org/officeDocument/2006/relationships/hyperlink" Target="https://tfs.lmkr.net/tfs/DefaultCollection/LMKR/_workitems/edit/21492" TargetMode="External"/><Relationship Id="rId153" Type="http://schemas.openxmlformats.org/officeDocument/2006/relationships/hyperlink" Target="https://tfs.lmkr.net/tfs/DefaultCollection/LMKR/_workitems/edit/21554" TargetMode="External"/><Relationship Id="rId174" Type="http://schemas.openxmlformats.org/officeDocument/2006/relationships/hyperlink" Target="https://tfs.lmkr.net/tfs/DefaultCollection/LMKR/_workitems/edit/21597" TargetMode="External"/><Relationship Id="rId195" Type="http://schemas.openxmlformats.org/officeDocument/2006/relationships/hyperlink" Target="https://tfs.lmkr.net/tfs/web/wi.aspx?pcguid=30018faa-01b3-4ccb-92ec-14a111542996&amp;id=21475" TargetMode="External"/><Relationship Id="rId209" Type="http://schemas.openxmlformats.org/officeDocument/2006/relationships/hyperlink" Target="https://tfs.lmkr.net/tfs/web/wi.aspx?pcguid=30018faa-01b3-4ccb-92ec-14a111542996&amp;id=21625" TargetMode="External"/><Relationship Id="rId360" Type="http://schemas.openxmlformats.org/officeDocument/2006/relationships/hyperlink" Target="https://tfs.lmkr.net/tfs/web/UI/Pages/WorkItems/WorkItemEdit.aspx?id=25532&amp;pguid=cfec7082-5fcb-4dd8-a280-69cacc6e885d" TargetMode="External"/><Relationship Id="rId381" Type="http://schemas.openxmlformats.org/officeDocument/2006/relationships/hyperlink" Target="https://tfs.lmkr.net/tfs/web/UI/Pages/WorkItems/WorkItemEdit.aspx?id=25528&amp;pguid=cfec7082-5fcb-4dd8-a280-69cacc6e885d" TargetMode="External"/><Relationship Id="rId416" Type="http://schemas.openxmlformats.org/officeDocument/2006/relationships/table" Target="../tables/table5.xml"/><Relationship Id="rId220" Type="http://schemas.openxmlformats.org/officeDocument/2006/relationships/hyperlink" Target="Client_Email_Backup\RE%20LMKR-GGX%20Please%20help%20assign%20new%20test%20cases%20for%20automation..msg" TargetMode="External"/><Relationship Id="rId241" Type="http://schemas.openxmlformats.org/officeDocument/2006/relationships/hyperlink" Target="https://tfs.lmkr.net/tfs/DefaultCollection/LMKR/_workitems/edit/22874" TargetMode="External"/><Relationship Id="rId15" Type="http://schemas.openxmlformats.org/officeDocument/2006/relationships/hyperlink" Target="https://tfs.lmkr.net/tfs/DefaultCollection/LMKR/_workitems/edit/19357" TargetMode="External"/><Relationship Id="rId36" Type="http://schemas.openxmlformats.org/officeDocument/2006/relationships/hyperlink" Target="https://tfs.lmkr.net/tfs/DefaultCollection/LMKR/_workitems/edit/20272" TargetMode="External"/><Relationship Id="rId57" Type="http://schemas.openxmlformats.org/officeDocument/2006/relationships/hyperlink" Target="https://tfs.lmkr.net/tfs/DefaultCollection/LMKR/_workitems/edit/19354" TargetMode="External"/><Relationship Id="rId262" Type="http://schemas.openxmlformats.org/officeDocument/2006/relationships/hyperlink" Target="https://tfs.lmkr.net/tfs/web/UI/Pages/WorkItems/WorkItemEdit.aspx?id=23379&amp;pguid=cfec7082-5fcb-4dd8-a280-69cacc6e885d" TargetMode="External"/><Relationship Id="rId283" Type="http://schemas.openxmlformats.org/officeDocument/2006/relationships/hyperlink" Target="https://tfs.lmkr.net/tfs/web/UI/Pages/WorkItems/WorkItemEdit.aspx?id=23381&amp;pguid=cfec7082-5fcb-4dd8-a280-69cacc6e885d" TargetMode="External"/><Relationship Id="rId318" Type="http://schemas.openxmlformats.org/officeDocument/2006/relationships/hyperlink" Target="https://tfs.lmkr.net/tfs/web/UI/Pages/WorkItems/WorkItemEdit.aspx?id=24859&amp;pguid=cfec7082-5fcb-4dd8-a280-69cacc6e885d" TargetMode="External"/><Relationship Id="rId339" Type="http://schemas.openxmlformats.org/officeDocument/2006/relationships/hyperlink" Target="https://tfs.lmkr.net/tfs/web/UI/Pages/WorkItems/WorkItemEdit.aspx?id=24836&amp;pguid=cfec7082-5fcb-4dd8-a280-69cacc6e885d" TargetMode="External"/><Relationship Id="rId78" Type="http://schemas.openxmlformats.org/officeDocument/2006/relationships/hyperlink" Target="https://tfs.lmkr.net/tfs/DefaultCollection/LMKR/_workitems/edit/19963" TargetMode="External"/><Relationship Id="rId99" Type="http://schemas.openxmlformats.org/officeDocument/2006/relationships/hyperlink" Target="https://tfs.lmkr.net/tfs/DefaultCollection/LMKR/_workitems/edit/21124" TargetMode="External"/><Relationship Id="rId101" Type="http://schemas.openxmlformats.org/officeDocument/2006/relationships/hyperlink" Target="https://tfs.lmkr.net/tfs/DefaultCollection/LMKR/_workitems/edit/21121" TargetMode="External"/><Relationship Id="rId122" Type="http://schemas.openxmlformats.org/officeDocument/2006/relationships/hyperlink" Target="https://tfs.lmkr.net/tfs/DefaultCollection/LMKR/_workitems/edit/19549" TargetMode="External"/><Relationship Id="rId143" Type="http://schemas.openxmlformats.org/officeDocument/2006/relationships/hyperlink" Target="https://tfs.lmkr.net/tfs/DefaultCollection/LMKR/_workitems/edit/19339" TargetMode="External"/><Relationship Id="rId164" Type="http://schemas.openxmlformats.org/officeDocument/2006/relationships/hyperlink" Target="https://tfs.lmkr.net/tfs/DefaultCollection/LMKR/_workitems/edit/21591" TargetMode="External"/><Relationship Id="rId185" Type="http://schemas.openxmlformats.org/officeDocument/2006/relationships/hyperlink" Target="https://tfs.lmkr.net/tfs/DefaultCollection/LMKR/_workitems/edit/21569" TargetMode="External"/><Relationship Id="rId350" Type="http://schemas.openxmlformats.org/officeDocument/2006/relationships/hyperlink" Target="https://tfs.lmkr.net/tfs/web/UI/Pages/WorkItems/WorkItemEdit.aspx?id=25571&amp;pguid=cfec7082-5fcb-4dd8-a280-69cacc6e885d" TargetMode="External"/><Relationship Id="rId371" Type="http://schemas.openxmlformats.org/officeDocument/2006/relationships/hyperlink" Target="https://tfs.lmkr.net/tfs/web/UI/Pages/WorkItems/WorkItemEdit.aspx?id=25590&amp;pguid=cfec7082-5fcb-4dd8-a280-69cacc6e885d" TargetMode="External"/><Relationship Id="rId406" Type="http://schemas.openxmlformats.org/officeDocument/2006/relationships/hyperlink" Target="https://tfs.lmkr.net/tfs/web/UI/Pages/WorkItems/WorkItemEdit.aspx?id=25515&amp;pguid=cfec7082-5fcb-4dd8-a280-69cacc6e885d" TargetMode="External"/><Relationship Id="rId9" Type="http://schemas.openxmlformats.org/officeDocument/2006/relationships/hyperlink" Target="https://tfs.lmkr.net/tfs/DefaultCollection/LMKR/_workitems/edit/19360" TargetMode="External"/><Relationship Id="rId210" Type="http://schemas.openxmlformats.org/officeDocument/2006/relationships/hyperlink" Target="https://tfs.lmkr.net/tfs/web/wi.aspx?pcguid=30018faa-01b3-4ccb-92ec-14a111542996&amp;id=21627" TargetMode="External"/><Relationship Id="rId392" Type="http://schemas.openxmlformats.org/officeDocument/2006/relationships/hyperlink" Target="https://tfs.lmkr.net/tfs/web/UI/Pages/WorkItems/WorkItemEdit.aspx?id=25515&amp;pguid=cfec7082-5fcb-4dd8-a280-69cacc6e885d" TargetMode="External"/><Relationship Id="rId26" Type="http://schemas.openxmlformats.org/officeDocument/2006/relationships/hyperlink" Target="https://tfs.lmkr.net/tfs/DefaultCollection/LMKR/_workitems/edit/21126" TargetMode="External"/><Relationship Id="rId231" Type="http://schemas.openxmlformats.org/officeDocument/2006/relationships/hyperlink" Target="https://tfs.lmkr.net/tfs/DefaultCollection/LMKR/_workitems/edit/22885" TargetMode="External"/><Relationship Id="rId252" Type="http://schemas.openxmlformats.org/officeDocument/2006/relationships/hyperlink" Target="https://tfs.lmkr.net/tfs/DefaultCollection/LMKR/_workitems/edit/22925" TargetMode="External"/><Relationship Id="rId273" Type="http://schemas.openxmlformats.org/officeDocument/2006/relationships/hyperlink" Target="https://tfs.lmkr.net/tfs/web/UI/Pages/WorkItems/WorkItemEdit.aspx?id=23388&amp;pguid=cfec7082-5fcb-4dd8-a280-69cacc6e885d" TargetMode="External"/><Relationship Id="rId294" Type="http://schemas.openxmlformats.org/officeDocument/2006/relationships/hyperlink" Target="https://tfs.lmkr.net/tfs/web/UI/Pages/WorkItems/WorkItemEdit.aspx?id=23387&amp;pguid=cfec7082-5fcb-4dd8-a280-69cacc6e885d" TargetMode="External"/><Relationship Id="rId308" Type="http://schemas.openxmlformats.org/officeDocument/2006/relationships/hyperlink" Target="https://tfs.lmkr.net/tfs/web/UI/Pages/WorkItems/WorkItemEdit.aspx?id=24836&amp;pguid=cfec7082-5fcb-4dd8-a280-69cacc6e885d" TargetMode="External"/><Relationship Id="rId329" Type="http://schemas.openxmlformats.org/officeDocument/2006/relationships/hyperlink" Target="https://tfs.lmkr.net/tfs/web/UI/Pages/WorkItems/WorkItemEdit.aspx?id=25068&amp;pguid=cfec7082-5fcb-4dd8-a280-69cacc6e885d" TargetMode="External"/><Relationship Id="rId47" Type="http://schemas.openxmlformats.org/officeDocument/2006/relationships/hyperlink" Target="https://tfs.lmkr.net/tfs/DefaultCollection/LMKR/_workitems/edit/19554" TargetMode="External"/><Relationship Id="rId68" Type="http://schemas.openxmlformats.org/officeDocument/2006/relationships/hyperlink" Target="https://tfs.lmkr.net/tfs/DefaultCollection/LMKR/_workitems/edit/19348" TargetMode="External"/><Relationship Id="rId89" Type="http://schemas.openxmlformats.org/officeDocument/2006/relationships/hyperlink" Target="https://tfs.lmkr.net/tfs/DefaultCollection/LMKR/_workitems/edit/21148" TargetMode="External"/><Relationship Id="rId112" Type="http://schemas.openxmlformats.org/officeDocument/2006/relationships/hyperlink" Target="https://tfs.lmkr.net/tfs/DefaultCollection/LMKR/_workitems/edit/19347" TargetMode="External"/><Relationship Id="rId133" Type="http://schemas.openxmlformats.org/officeDocument/2006/relationships/hyperlink" Target="https://tfs.lmkr.net/tfs/DefaultCollection/LMKR/_workitems/edit/21272" TargetMode="External"/><Relationship Id="rId154" Type="http://schemas.openxmlformats.org/officeDocument/2006/relationships/hyperlink" Target="https://tfs.lmkr.net/tfs/DefaultCollection/LMKR/_workitems/edit/21556" TargetMode="External"/><Relationship Id="rId175" Type="http://schemas.openxmlformats.org/officeDocument/2006/relationships/hyperlink" Target="https://tfs.lmkr.net/tfs/DefaultCollection/LMKR/_workitems/edit/21560" TargetMode="External"/><Relationship Id="rId340" Type="http://schemas.openxmlformats.org/officeDocument/2006/relationships/hyperlink" Target="https://tfs.lmkr.net/tfs/web/UI/Pages/WorkItems/WorkItemEdit.aspx?id=25085&amp;pguid=cfec7082-5fcb-4dd8-a280-69cacc6e885d" TargetMode="External"/><Relationship Id="rId361" Type="http://schemas.openxmlformats.org/officeDocument/2006/relationships/hyperlink" Target="https://tfs.lmkr.net/tfs/web/UI/Pages/WorkItems/WorkItemEdit.aspx?id=25575&amp;pguid=cfec7082-5fcb-4dd8-a280-69cacc6e885d" TargetMode="External"/><Relationship Id="rId196" Type="http://schemas.openxmlformats.org/officeDocument/2006/relationships/hyperlink" Target="https://tfs.lmkr.net/tfs/web/wi.aspx?pcguid=30018faa-01b3-4ccb-92ec-14a111542996&amp;id=30380" TargetMode="External"/><Relationship Id="rId200" Type="http://schemas.openxmlformats.org/officeDocument/2006/relationships/hyperlink" Target="https://tfs.lmkr.net/tfs/web/wi.aspx?pcguid=30018faa-01b3-4ccb-92ec-14a111542996&amp;id=30390" TargetMode="External"/><Relationship Id="rId382" Type="http://schemas.openxmlformats.org/officeDocument/2006/relationships/hyperlink" Target="https://tfs.lmkr.net/tfs/web/UI/Pages/WorkItems/WorkItemEdit.aspx?id=25547&amp;pguid=cfec7082-5fcb-4dd8-a280-69cacc6e885d" TargetMode="External"/><Relationship Id="rId417" Type="http://schemas.openxmlformats.org/officeDocument/2006/relationships/table" Target="../tables/table6.xml"/><Relationship Id="rId16" Type="http://schemas.openxmlformats.org/officeDocument/2006/relationships/hyperlink" Target="https://tfs.lmkr.net/tfs/DefaultCollection/LMKR/_workitems/edit/19366" TargetMode="External"/><Relationship Id="rId221" Type="http://schemas.openxmlformats.org/officeDocument/2006/relationships/hyperlink" Target="https://tfs.lmkr.net/tfs/DefaultCollection/LMKR/_workitems/edit/22925" TargetMode="External"/><Relationship Id="rId242" Type="http://schemas.openxmlformats.org/officeDocument/2006/relationships/hyperlink" Target="https://tfs.lmkr.net/tfs/DefaultCollection/LMKR/_workitems/edit/22871" TargetMode="External"/><Relationship Id="rId263" Type="http://schemas.openxmlformats.org/officeDocument/2006/relationships/hyperlink" Target="https://tfs.lmkr.net/tfs/web/UI/Pages/WorkItems/WorkItemEdit.aspx?id=23377&amp;pguid=cfec7082-5fcb-4dd8-a280-69cacc6e885d" TargetMode="External"/><Relationship Id="rId284" Type="http://schemas.openxmlformats.org/officeDocument/2006/relationships/hyperlink" Target="https://tfs.lmkr.net/tfs/web/UI/Pages/WorkItems/WorkItemEdit.aspx?id=23380&amp;pguid=cfec7082-5fcb-4dd8-a280-69cacc6e885d" TargetMode="External"/><Relationship Id="rId319" Type="http://schemas.openxmlformats.org/officeDocument/2006/relationships/hyperlink" Target="https://tfs.lmkr.net/tfs/web/UI/Pages/WorkItems/WorkItemEdit.aspx?id=24862&amp;pguid=cfec7082-5fcb-4dd8-a280-69cacc6e885d" TargetMode="External"/><Relationship Id="rId37" Type="http://schemas.openxmlformats.org/officeDocument/2006/relationships/hyperlink" Target="https://tfs.lmkr.net/tfs/DefaultCollection/LMKR/_workitems/edit/21178" TargetMode="External"/><Relationship Id="rId58" Type="http://schemas.openxmlformats.org/officeDocument/2006/relationships/hyperlink" Target="https://tfs.lmkr.net/tfs/DefaultCollection/LMKR/_workitems/edit/19359" TargetMode="External"/><Relationship Id="rId79" Type="http://schemas.openxmlformats.org/officeDocument/2006/relationships/hyperlink" Target="https://tfs.lmkr.net/tfs/DefaultCollection/LMKR/_workitems/edit/19965" TargetMode="External"/><Relationship Id="rId102" Type="http://schemas.openxmlformats.org/officeDocument/2006/relationships/hyperlink" Target="https://tfs.lmkr.net/tfs/DefaultCollection/LMKR/_workitems/edit/19570" TargetMode="External"/><Relationship Id="rId123" Type="http://schemas.openxmlformats.org/officeDocument/2006/relationships/hyperlink" Target="https://tfs.lmkr.net/tfs/DefaultCollection/LMKR/_workitems/edit/19548" TargetMode="External"/><Relationship Id="rId144" Type="http://schemas.openxmlformats.org/officeDocument/2006/relationships/hyperlink" Target="https://tfs.lmkr.net/tfs/DefaultCollection/LMKR/_workitems/edit/33967" TargetMode="External"/><Relationship Id="rId330" Type="http://schemas.openxmlformats.org/officeDocument/2006/relationships/hyperlink" Target="https://tfs.lmkr.net/tfs/web/UI/Pages/WorkItems/WorkItemEdit.aspx?id=32012&amp;pguid=cfec7082-5fcb-4dd8-a280-69cacc6e885d" TargetMode="External"/><Relationship Id="rId90" Type="http://schemas.openxmlformats.org/officeDocument/2006/relationships/hyperlink" Target="https://tfs.lmkr.net/tfs/DefaultCollection/LMKR/_workitems/edit/21149" TargetMode="External"/><Relationship Id="rId165" Type="http://schemas.openxmlformats.org/officeDocument/2006/relationships/hyperlink" Target="https://tfs.lmkr.net/tfs/DefaultCollection/LMKR/_workitems/edit/21578" TargetMode="External"/><Relationship Id="rId186" Type="http://schemas.openxmlformats.org/officeDocument/2006/relationships/hyperlink" Target="https://tfs.lmkr.net/tfs/DefaultCollection/LMKR/_workitems/edit/21602" TargetMode="External"/><Relationship Id="rId351" Type="http://schemas.openxmlformats.org/officeDocument/2006/relationships/hyperlink" Target="https://tfs.lmkr.net/tfs/web/UI/Pages/WorkItems/WorkItemEdit.aspx?id=25530&amp;pguid=cfec7082-5fcb-4dd8-a280-69cacc6e885d" TargetMode="External"/><Relationship Id="rId372" Type="http://schemas.openxmlformats.org/officeDocument/2006/relationships/hyperlink" Target="https://tfs.lmkr.net/tfs/web/UI/Pages/WorkItems/WorkItemEdit.aspx?id=25591&amp;pguid=cfec7082-5fcb-4dd8-a280-69cacc6e885d" TargetMode="External"/><Relationship Id="rId393" Type="http://schemas.openxmlformats.org/officeDocument/2006/relationships/hyperlink" Target="https://tfs.lmkr.net/tfs/web/UI/Pages/WorkItems/WorkItemEdit.aspx?id=25513&amp;pguid=cfec7082-5fcb-4dd8-a280-69cacc6e885d" TargetMode="External"/><Relationship Id="rId407" Type="http://schemas.openxmlformats.org/officeDocument/2006/relationships/hyperlink" Target="https://tfs.lmkr.net/tfs/web/UI/Pages/WorkItems/WorkItemEdit.aspx?id=25513&amp;pguid=cfec7082-5fcb-4dd8-a280-69cacc6e885d" TargetMode="External"/><Relationship Id="rId211" Type="http://schemas.openxmlformats.org/officeDocument/2006/relationships/hyperlink" Target="https://tfs.lmkr.net/tfs/web/wi.aspx?pcguid=30018faa-01b3-4ccb-92ec-14a111542996&amp;id=21530" TargetMode="External"/><Relationship Id="rId232" Type="http://schemas.openxmlformats.org/officeDocument/2006/relationships/hyperlink" Target="https://tfs.lmkr.net/tfs/DefaultCollection/LMKR/_workitems/edit/22886" TargetMode="External"/><Relationship Id="rId253" Type="http://schemas.openxmlformats.org/officeDocument/2006/relationships/hyperlink" Target="https://tfs.lmkr.net/tfs/DefaultCollection/LMKR/_workitems/edit/22873" TargetMode="External"/><Relationship Id="rId274" Type="http://schemas.openxmlformats.org/officeDocument/2006/relationships/hyperlink" Target="https://tfs.lmkr.net/tfs/web/UI/Pages/WorkItems/WorkItemEdit.aspx?id=23391&amp;pguid=cfec7082-5fcb-4dd8-a280-69cacc6e885d" TargetMode="External"/><Relationship Id="rId295" Type="http://schemas.openxmlformats.org/officeDocument/2006/relationships/hyperlink" Target="https://tfs.lmkr.net/tfs/web/UI/Pages/WorkItems/WorkItemEdit.aspx?id=23388&amp;pguid=cfec7082-5fcb-4dd8-a280-69cacc6e885d" TargetMode="External"/><Relationship Id="rId309" Type="http://schemas.openxmlformats.org/officeDocument/2006/relationships/hyperlink" Target="https://tfs.lmkr.net/tfs/web/UI/Pages/WorkItems/WorkItemEdit.aspx?id=25084&amp;pguid=cfec7082-5fcb-4dd8-a280-69cacc6e885d" TargetMode="External"/><Relationship Id="rId27" Type="http://schemas.openxmlformats.org/officeDocument/2006/relationships/hyperlink" Target="https://tfs.lmkr.net/tfs/DefaultCollection/LMKR/_workitems/edit/27019" TargetMode="External"/><Relationship Id="rId48" Type="http://schemas.openxmlformats.org/officeDocument/2006/relationships/hyperlink" Target="https://tfs.lmkr.net/tfs/DefaultCollection/LMKR/_workitems/edit/19555" TargetMode="External"/><Relationship Id="rId69" Type="http://schemas.openxmlformats.org/officeDocument/2006/relationships/hyperlink" Target="https://tfs.lmkr.net/tfs/DefaultCollection/LMKR/_workitems/edit/19344" TargetMode="External"/><Relationship Id="rId113" Type="http://schemas.openxmlformats.org/officeDocument/2006/relationships/hyperlink" Target="https://tfs.lmkr.net/tfs/DefaultCollection/LMKR/_workitems/edit/19352" TargetMode="External"/><Relationship Id="rId134" Type="http://schemas.openxmlformats.org/officeDocument/2006/relationships/hyperlink" Target="https://tfs.lmkr.net/tfs/DefaultCollection/LMKR/_workitems/edit/21276" TargetMode="External"/><Relationship Id="rId320" Type="http://schemas.openxmlformats.org/officeDocument/2006/relationships/hyperlink" Target="https://tfs.lmkr.net/tfs/web/UI/Pages/WorkItems/WorkItemEdit.aspx?id=24865&amp;pguid=cfec7082-5fcb-4dd8-a280-69cacc6e885d" TargetMode="External"/><Relationship Id="rId80" Type="http://schemas.openxmlformats.org/officeDocument/2006/relationships/hyperlink" Target="https://tfs.lmkr.net/tfs/DefaultCollection/LMKR/_workitems/edit/19967" TargetMode="External"/><Relationship Id="rId155" Type="http://schemas.openxmlformats.org/officeDocument/2006/relationships/hyperlink" Target="https://tfs.lmkr.net/tfs/DefaultCollection/LMKR/_workitems/edit/21573" TargetMode="External"/><Relationship Id="rId176" Type="http://schemas.openxmlformats.org/officeDocument/2006/relationships/hyperlink" Target="https://tfs.lmkr.net/tfs/DefaultCollection/LMKR/_workitems/edit/21596" TargetMode="External"/><Relationship Id="rId197" Type="http://schemas.openxmlformats.org/officeDocument/2006/relationships/hyperlink" Target="https://tfs.lmkr.net/tfs/web/wi.aspx?pcguid=30018faa-01b3-4ccb-92ec-14a111542996&amp;id=30375" TargetMode="External"/><Relationship Id="rId341" Type="http://schemas.openxmlformats.org/officeDocument/2006/relationships/hyperlink" Target="https://tfs.lmkr.net/tfs/DefaultCollection/LMKR/Testing/_workitems" TargetMode="External"/><Relationship Id="rId362" Type="http://schemas.openxmlformats.org/officeDocument/2006/relationships/hyperlink" Target="https://tfs.lmkr.net/tfs/web/UI/Pages/WorkItems/WorkItemEdit.aspx?id=25583&amp;pguid=cfec7082-5fcb-4dd8-a280-69cacc6e885d" TargetMode="External"/><Relationship Id="rId383" Type="http://schemas.openxmlformats.org/officeDocument/2006/relationships/hyperlink" Target="https://tfs.lmkr.net/tfs/web/UI/Pages/WorkItems/WorkItemEdit.aspx?id=25491&amp;pguid=cfec7082-5fcb-4dd8-a280-69cacc6e885d" TargetMode="External"/><Relationship Id="rId418" Type="http://schemas.openxmlformats.org/officeDocument/2006/relationships/table" Target="../tables/table7.xml"/><Relationship Id="rId201" Type="http://schemas.openxmlformats.org/officeDocument/2006/relationships/hyperlink" Target="https://tfs.lmkr.net/tfs/web/wi.aspx?pcguid=30018faa-01b3-4ccb-92ec-14a111542996&amp;id=30392" TargetMode="External"/><Relationship Id="rId222" Type="http://schemas.openxmlformats.org/officeDocument/2006/relationships/hyperlink" Target="https://tfs.lmkr.net/tfs/DefaultCollection/LMKR/_workitems/edit/22873" TargetMode="External"/><Relationship Id="rId243" Type="http://schemas.openxmlformats.org/officeDocument/2006/relationships/hyperlink" Target="https://tfs.lmkr.net/tfs/DefaultCollection/LMKR/_workitems/edit/22887" TargetMode="External"/><Relationship Id="rId264" Type="http://schemas.openxmlformats.org/officeDocument/2006/relationships/hyperlink" Target="https://tfs.lmkr.net/tfs/web/UI/Pages/WorkItems/WorkItemEdit.aspx?id=23378&amp;pguid=cfec7082-5fcb-4dd8-a280-69cacc6e885d" TargetMode="External"/><Relationship Id="rId285" Type="http://schemas.openxmlformats.org/officeDocument/2006/relationships/hyperlink" Target="https://tfs.lmkr.net/tfs/web/UI/Pages/WorkItems/WorkItemEdit.aspx?id=23383&amp;pguid=cfec7082-5fcb-4dd8-a280-69cacc6e885d" TargetMode="External"/><Relationship Id="rId17" Type="http://schemas.openxmlformats.org/officeDocument/2006/relationships/hyperlink" Target="https://tfs.lmkr.net/tfs/DefaultCollection/LMKR/_workitems/edit/19344" TargetMode="External"/><Relationship Id="rId38" Type="http://schemas.openxmlformats.org/officeDocument/2006/relationships/hyperlink" Target="https://tfs.lmkr.net/tfs/DefaultCollection/LMKR/_workitems/edit/19558" TargetMode="External"/><Relationship Id="rId59" Type="http://schemas.openxmlformats.org/officeDocument/2006/relationships/hyperlink" Target="https://tfs.lmkr.net/tfs/DefaultCollection/LMKR/_workitems/edit/19341" TargetMode="External"/><Relationship Id="rId103" Type="http://schemas.openxmlformats.org/officeDocument/2006/relationships/hyperlink" Target="https://tfs.lmkr.net/tfs/DefaultCollection/LMKR/_workitems/edit/21119" TargetMode="External"/><Relationship Id="rId124" Type="http://schemas.openxmlformats.org/officeDocument/2006/relationships/hyperlink" Target="https://tfs.lmkr.net/tfs/DefaultCollection/LMKR/_workitems/edit/21275" TargetMode="External"/><Relationship Id="rId310" Type="http://schemas.openxmlformats.org/officeDocument/2006/relationships/hyperlink" Target="https://tfs.lmkr.net/tfs/web/UI/Pages/WorkItems/WorkItemEdit.aspx?id=24836&amp;pguid=cfec7082-5fcb-4dd8-a280-69cacc6e885d" TargetMode="External"/><Relationship Id="rId70" Type="http://schemas.openxmlformats.org/officeDocument/2006/relationships/hyperlink" Target="https://tfs.lmkr.net/tfs/DefaultCollection/LMKR/_workitems/edit/19366" TargetMode="External"/><Relationship Id="rId91" Type="http://schemas.openxmlformats.org/officeDocument/2006/relationships/hyperlink" Target="https://tfs.lmkr.net/tfs/DefaultCollection/LMKR/_workitems/edit/21153" TargetMode="External"/><Relationship Id="rId145" Type="http://schemas.openxmlformats.org/officeDocument/2006/relationships/hyperlink" Target="https://tfs.lmkr.net/tfs/DefaultCollection/LMKR/_workitems/edit/21571" TargetMode="External"/><Relationship Id="rId166" Type="http://schemas.openxmlformats.org/officeDocument/2006/relationships/hyperlink" Target="https://tfs.lmkr.net/tfs/DefaultCollection/LMKR/_workitems/edit/21593" TargetMode="External"/><Relationship Id="rId187" Type="http://schemas.openxmlformats.org/officeDocument/2006/relationships/hyperlink" Target="https://tfs.lmkr.net/tfs/web/wi.aspx?pcguid=30018faa-01b3-4ccb-92ec-14a111542996&amp;id=21285" TargetMode="External"/><Relationship Id="rId331" Type="http://schemas.openxmlformats.org/officeDocument/2006/relationships/hyperlink" Target="https://tfs.lmkr.net/tfs/web/UI/Pages/WorkItems/WorkItemEdit.aspx?id=25069&amp;pguid=cfec7082-5fcb-4dd8-a280-69cacc6e885d" TargetMode="External"/><Relationship Id="rId352" Type="http://schemas.openxmlformats.org/officeDocument/2006/relationships/hyperlink" Target="https://tfs.lmkr.net/tfs/web/UI/Pages/WorkItems/WorkItemEdit.aspx?id=25582&amp;pguid=cfec7082-5fcb-4dd8-a280-69cacc6e885d" TargetMode="External"/><Relationship Id="rId373" Type="http://schemas.openxmlformats.org/officeDocument/2006/relationships/hyperlink" Target="https://tfs.lmkr.net/tfs/web/UI/Pages/WorkItems/WorkItemEdit.aspx?id=25592&amp;pguid=cfec7082-5fcb-4dd8-a280-69cacc6e885d" TargetMode="External"/><Relationship Id="rId394" Type="http://schemas.openxmlformats.org/officeDocument/2006/relationships/hyperlink" Target="https://tfs.lmkr.net/tfs/web/UI/Pages/WorkItems/WorkItemEdit.aspx?id=25516&amp;pguid=cfec7082-5fcb-4dd8-a280-69cacc6e885d" TargetMode="External"/><Relationship Id="rId408" Type="http://schemas.openxmlformats.org/officeDocument/2006/relationships/hyperlink" Target="https://tfs.lmkr.net/tfs/web/UI/Pages/WorkItems/WorkItemEdit.aspx?id=25516&amp;pguid=cfec7082-5fcb-4dd8-a280-69cacc6e885d" TargetMode="External"/><Relationship Id="rId1" Type="http://schemas.openxmlformats.org/officeDocument/2006/relationships/hyperlink" Target="https://tfs.lmkr.net/tfs/DefaultCollection/LMKR/_workitems/edit/19547" TargetMode="External"/><Relationship Id="rId212" Type="http://schemas.openxmlformats.org/officeDocument/2006/relationships/hyperlink" Target="https://tfs.lmkr.net/tfs/web/wi.aspx?pcguid=30018faa-01b3-4ccb-92ec-14a111542996&amp;id=21535" TargetMode="External"/><Relationship Id="rId233" Type="http://schemas.openxmlformats.org/officeDocument/2006/relationships/hyperlink" Target="https://tfs.lmkr.net/tfs/DefaultCollection/LMKR/_workitems/edit/22889" TargetMode="External"/><Relationship Id="rId254" Type="http://schemas.openxmlformats.org/officeDocument/2006/relationships/hyperlink" Target="https://tfs.lmkr.net/tfs/DefaultCollection/LMKR/_workitems/edit/22875" TargetMode="External"/><Relationship Id="rId28" Type="http://schemas.openxmlformats.org/officeDocument/2006/relationships/hyperlink" Target="https://tfs.lmkr.net/tfs/DefaultCollection/LMKR/_workitems/edit/20333" TargetMode="External"/><Relationship Id="rId49" Type="http://schemas.openxmlformats.org/officeDocument/2006/relationships/hyperlink" Target="https://tfs.lmkr.net/tfs/DefaultCollection/LMKR/_workitems/edit/19556" TargetMode="External"/><Relationship Id="rId114" Type="http://schemas.openxmlformats.org/officeDocument/2006/relationships/hyperlink" Target="https://tfs.lmkr.net/tfs/DefaultCollection/LMKR/_workitems/edit/19355" TargetMode="External"/><Relationship Id="rId275" Type="http://schemas.openxmlformats.org/officeDocument/2006/relationships/hyperlink" Target="https://tfs.lmkr.net/tfs/web/UI/Pages/WorkItems/WorkItemEdit.aspx?id=23426&amp;pguid=cfec7082-5fcb-4dd8-a280-69cacc6e885d" TargetMode="External"/><Relationship Id="rId296" Type="http://schemas.openxmlformats.org/officeDocument/2006/relationships/hyperlink" Target="https://tfs.lmkr.net/tfs/web/UI/Pages/WorkItems/WorkItemEdit.aspx?id=23391&amp;pguid=cfec7082-5fcb-4dd8-a280-69cacc6e885d" TargetMode="External"/><Relationship Id="rId300" Type="http://schemas.openxmlformats.org/officeDocument/2006/relationships/hyperlink" Target="https://tfs.lmkr.net/tfs/web/UI/Pages/WorkItems/WorkItemEdit.aspx?id=23294&amp;pguid=cfec7082-5fcb-4dd8-a280-69cacc6e885d" TargetMode="External"/><Relationship Id="rId60" Type="http://schemas.openxmlformats.org/officeDocument/2006/relationships/hyperlink" Target="https://tfs.lmkr.net/tfs/DefaultCollection/LMKR/_workitems/edit/19361" TargetMode="External"/><Relationship Id="rId81" Type="http://schemas.openxmlformats.org/officeDocument/2006/relationships/hyperlink" Target="https://tfs.lmkr.net/tfs/DefaultCollection/LMKR/_workitems/edit/21143" TargetMode="External"/><Relationship Id="rId135" Type="http://schemas.openxmlformats.org/officeDocument/2006/relationships/hyperlink" Target="https://tfs.lmkr.net/tfs/DefaultCollection/LMKR/_workitems/edit/21277" TargetMode="External"/><Relationship Id="rId156" Type="http://schemas.openxmlformats.org/officeDocument/2006/relationships/hyperlink" Target="https://tfs.lmkr.net/tfs/DefaultCollection/LMKR/_workitems/edit/21575" TargetMode="External"/><Relationship Id="rId177" Type="http://schemas.openxmlformats.org/officeDocument/2006/relationships/hyperlink" Target="https://tfs.lmkr.net/tfs/DefaultCollection/LMKR/_workitems/edit/21559" TargetMode="External"/><Relationship Id="rId198" Type="http://schemas.openxmlformats.org/officeDocument/2006/relationships/hyperlink" Target="https://tfs.lmkr.net/tfs/web/wi.aspx?pcguid=30018faa-01b3-4ccb-92ec-14a111542996&amp;id=30376" TargetMode="External"/><Relationship Id="rId321" Type="http://schemas.openxmlformats.org/officeDocument/2006/relationships/hyperlink" Target="https://tfs.lmkr.net/tfs/web/UI/Pages/WorkItems/WorkItemEdit.aspx?id=24864&amp;pguid=cfec7082-5fcb-4dd8-a280-69cacc6e885d" TargetMode="External"/><Relationship Id="rId342" Type="http://schemas.openxmlformats.org/officeDocument/2006/relationships/hyperlink" Target="https://tfs.lmkr.net/tfs/web/UI/Pages/WorkItems/WorkItemEdit.aspx?id=25590&amp;pguid=cfec7082-5fcb-4dd8-a280-69cacc6e885d" TargetMode="External"/><Relationship Id="rId363" Type="http://schemas.openxmlformats.org/officeDocument/2006/relationships/hyperlink" Target="https://tfs.lmkr.net/tfs/web/UI/Pages/WorkItems/WorkItemEdit.aspx?id=25553&amp;pguid=cfec7082-5fcb-4dd8-a280-69cacc6e885d" TargetMode="External"/><Relationship Id="rId384" Type="http://schemas.openxmlformats.org/officeDocument/2006/relationships/hyperlink" Target="https://tfs.lmkr.net/tfs/web/UI/Pages/WorkItems/WorkItemEdit.aspx?id=25512&amp;pguid=cfec7082-5fcb-4dd8-a280-69cacc6e885d" TargetMode="External"/><Relationship Id="rId202" Type="http://schemas.openxmlformats.org/officeDocument/2006/relationships/hyperlink" Target="https://tfs.lmkr.net/tfs/web/wi.aspx?pcguid=30018faa-01b3-4ccb-92ec-14a111542996&amp;id=21614" TargetMode="External"/><Relationship Id="rId223" Type="http://schemas.openxmlformats.org/officeDocument/2006/relationships/hyperlink" Target="https://tfs.lmkr.net/tfs/DefaultCollection/LMKR/_workitems/edit/22875" TargetMode="External"/><Relationship Id="rId244" Type="http://schemas.openxmlformats.org/officeDocument/2006/relationships/hyperlink" Target="https://tfs.lmkr.net/tfs/DefaultCollection/LMKR/_workitems/edit/22891" TargetMode="External"/><Relationship Id="rId18" Type="http://schemas.openxmlformats.org/officeDocument/2006/relationships/hyperlink" Target="https://tfs.lmkr.net/tfs/DefaultCollection/LMKR/_workitems/edit/20328" TargetMode="External"/><Relationship Id="rId39" Type="http://schemas.openxmlformats.org/officeDocument/2006/relationships/hyperlink" Target="https://tfs.lmkr.net/tfs/DefaultCollection/LMKR/_workitems/edit/19342" TargetMode="External"/><Relationship Id="rId265" Type="http://schemas.openxmlformats.org/officeDocument/2006/relationships/hyperlink" Target="https://tfs.lmkr.net/tfs/web/UI/Pages/WorkItems/WorkItemEdit.aspx?id=23375&amp;pguid=cfec7082-5fcb-4dd8-a280-69cacc6e885d" TargetMode="External"/><Relationship Id="rId286" Type="http://schemas.openxmlformats.org/officeDocument/2006/relationships/hyperlink" Target="https://tfs.lmkr.net/tfs/web/UI/Pages/WorkItems/WorkItemEdit.aspx?id=23379&amp;pguid=cfec7082-5fcb-4dd8-a280-69cacc6e885d" TargetMode="External"/><Relationship Id="rId50" Type="http://schemas.openxmlformats.org/officeDocument/2006/relationships/hyperlink" Target="https://tfs.lmkr.net/tfs/DefaultCollection/LMKR/_workitems/edit/19717" TargetMode="External"/><Relationship Id="rId104" Type="http://schemas.openxmlformats.org/officeDocument/2006/relationships/hyperlink" Target="https://tfs.lmkr.net/tfs/DefaultCollection/LMKR/_workitems/edit/21117" TargetMode="External"/><Relationship Id="rId125" Type="http://schemas.openxmlformats.org/officeDocument/2006/relationships/hyperlink" Target="https://tfs.lmkr.net/tfs/DefaultCollection/LMKR/_workitems/edit/21496" TargetMode="External"/><Relationship Id="rId146" Type="http://schemas.openxmlformats.org/officeDocument/2006/relationships/hyperlink" Target="https://tfs.lmkr.net/tfs/DefaultCollection/LMKR/_workitems/edit/21572" TargetMode="External"/><Relationship Id="rId167" Type="http://schemas.openxmlformats.org/officeDocument/2006/relationships/hyperlink" Target="https://tfs.lmkr.net/tfs/DefaultCollection/LMKR/_workitems/edit/21580" TargetMode="External"/><Relationship Id="rId188" Type="http://schemas.openxmlformats.org/officeDocument/2006/relationships/hyperlink" Target="https://tfs.lmkr.net/tfs/web/wi.aspx?pcguid=30018faa-01b3-4ccb-92ec-14a111542996&amp;id=21286" TargetMode="External"/><Relationship Id="rId311" Type="http://schemas.openxmlformats.org/officeDocument/2006/relationships/hyperlink" Target="https://tfs.lmkr.net/tfs/web/UI/Pages/WorkItems/WorkItemEdit.aspx?id=24841&amp;pguid=cfec7082-5fcb-4dd8-a280-69cacc6e885d" TargetMode="External"/><Relationship Id="rId332" Type="http://schemas.openxmlformats.org/officeDocument/2006/relationships/hyperlink" Target="https://tfs.lmkr.net/tfs/web/UI/Pages/WorkItems/WorkItemEdit.aspx?id=25074&amp;pguid=cfec7082-5fcb-4dd8-a280-69cacc6e885d" TargetMode="External"/><Relationship Id="rId353" Type="http://schemas.openxmlformats.org/officeDocument/2006/relationships/hyperlink" Target="https://tfs.lmkr.net/tfs/web/UI/Pages/WorkItems/WorkItemEdit.aspx?id=25576&amp;pguid=cfec7082-5fcb-4dd8-a280-69cacc6e885d" TargetMode="External"/><Relationship Id="rId374" Type="http://schemas.openxmlformats.org/officeDocument/2006/relationships/hyperlink" Target="https://tfs.lmkr.net/tfs/web/UI/Pages/WorkItems/WorkItemEdit.aspx?id=25600&amp;pguid=cfec7082-5fcb-4dd8-a280-69cacc6e885d" TargetMode="External"/><Relationship Id="rId395" Type="http://schemas.openxmlformats.org/officeDocument/2006/relationships/hyperlink" Target="https://tfs.lmkr.net/tfs/web/UI/Pages/WorkItems/WorkItemEdit.aspx?id=33019&amp;pguid=cfec7082-5fcb-4dd8-a280-69cacc6e885d" TargetMode="External"/><Relationship Id="rId409" Type="http://schemas.openxmlformats.org/officeDocument/2006/relationships/hyperlink" Target="https://tfs.lmkr.net/tfs/web/UI/Pages/WorkItems/WorkItemEdit.aspx?id=33019&amp;pguid=cfec7082-5fcb-4dd8-a280-69cacc6e885d" TargetMode="External"/><Relationship Id="rId71" Type="http://schemas.openxmlformats.org/officeDocument/2006/relationships/hyperlink" Target="https://tfs.lmkr.net/tfs/DefaultCollection/LMKR/_workitems/edit/20181" TargetMode="External"/><Relationship Id="rId92" Type="http://schemas.openxmlformats.org/officeDocument/2006/relationships/hyperlink" Target="https://tfs.lmkr.net/tfs/DefaultCollection/LMKR/_workitems/edit/21156" TargetMode="External"/><Relationship Id="rId213" Type="http://schemas.openxmlformats.org/officeDocument/2006/relationships/hyperlink" Target="https://tfs.lmkr.net/tfs/web/wi.aspx?pcguid=30018faa-01b3-4ccb-92ec-14a111542996&amp;id=21499" TargetMode="External"/><Relationship Id="rId234" Type="http://schemas.openxmlformats.org/officeDocument/2006/relationships/hyperlink" Target="https://tfs.lmkr.net/tfs/DefaultCollection/LMKR/_workitems/edit/22890" TargetMode="External"/><Relationship Id="rId2" Type="http://schemas.openxmlformats.org/officeDocument/2006/relationships/hyperlink" Target="https://tfs.lmkr.net/tfs/DefaultCollection/LMKR/_workitems/edit/19354" TargetMode="External"/><Relationship Id="rId29" Type="http://schemas.openxmlformats.org/officeDocument/2006/relationships/hyperlink" Target="https://tfs.lmkr.net/tfs/DefaultCollection/LMKR/_workitems/edit/21179" TargetMode="External"/><Relationship Id="rId255" Type="http://schemas.openxmlformats.org/officeDocument/2006/relationships/hyperlink" Target="https://tfs.lmkr.net/tfs/DefaultCollection/LMKR/_workitems/edit/22874" TargetMode="External"/><Relationship Id="rId276" Type="http://schemas.openxmlformats.org/officeDocument/2006/relationships/hyperlink" Target="https://tfs.lmkr.net/tfs/web/UI/Pages/WorkItems/WorkItemEdit.aspx?id=23389&amp;pguid=cfec7082-5fcb-4dd8-a280-69cacc6e885d" TargetMode="External"/><Relationship Id="rId297" Type="http://schemas.openxmlformats.org/officeDocument/2006/relationships/hyperlink" Target="https://tfs.lmkr.net/tfs/web/UI/Pages/WorkItems/WorkItemEdit.aspx?id=23389&amp;pguid=cfec7082-5fcb-4dd8-a280-69cacc6e885d" TargetMode="External"/><Relationship Id="rId40" Type="http://schemas.openxmlformats.org/officeDocument/2006/relationships/hyperlink" Target="https://tfs.lmkr.net/tfs/DefaultCollection/LMKR/_workitems/edit/19547" TargetMode="External"/><Relationship Id="rId115" Type="http://schemas.openxmlformats.org/officeDocument/2006/relationships/hyperlink" Target="https://tfs.lmkr.net/tfs/DefaultCollection/LMKR/_workitems/edit/19556" TargetMode="External"/><Relationship Id="rId136" Type="http://schemas.openxmlformats.org/officeDocument/2006/relationships/hyperlink" Target="https://tfs.lmkr.net/tfs/DefaultCollection/LMKR/_workitems/edit/21498" TargetMode="External"/><Relationship Id="rId157" Type="http://schemas.openxmlformats.org/officeDocument/2006/relationships/hyperlink" Target="https://tfs.lmkr.net/tfs/DefaultCollection/LMKR/_workitems/edit/21574" TargetMode="External"/><Relationship Id="rId178" Type="http://schemas.openxmlformats.org/officeDocument/2006/relationships/hyperlink" Target="https://tfs.lmkr.net/tfs/DefaultCollection/LMKR/_workitems/edit/21598" TargetMode="External"/><Relationship Id="rId301" Type="http://schemas.openxmlformats.org/officeDocument/2006/relationships/hyperlink" Target="https://tfs.lmkr.net/tfs/web/UI/Pages/WorkItems/WorkItemEdit.aspx?id=23355&amp;pguid=cfec7082-5fcb-4dd8-a280-69cacc6e885d" TargetMode="External"/><Relationship Id="rId322" Type="http://schemas.openxmlformats.org/officeDocument/2006/relationships/hyperlink" Target="https://tfs.lmkr.net/tfs/web/UI/Pages/WorkItems/WorkItemEdit.aspx?id=24860&amp;pguid=cfec7082-5fcb-4dd8-a280-69cacc6e885d" TargetMode="External"/><Relationship Id="rId343" Type="http://schemas.openxmlformats.org/officeDocument/2006/relationships/hyperlink" Target="https://tfs.lmkr.net/tfs/web/UI/Pages/WorkItems/WorkItemEdit.aspx?id=25591&amp;pguid=cfec7082-5fcb-4dd8-a280-69cacc6e885d" TargetMode="External"/><Relationship Id="rId364" Type="http://schemas.openxmlformats.org/officeDocument/2006/relationships/hyperlink" Target="https://tfs.lmkr.net/tfs/web/UI/Pages/WorkItems/WorkItemEdit.aspx?id=25528&amp;pguid=cfec7082-5fcb-4dd8-a280-69cacc6e885d" TargetMode="External"/><Relationship Id="rId61" Type="http://schemas.openxmlformats.org/officeDocument/2006/relationships/hyperlink" Target="https://tfs.lmkr.net/tfs/DefaultCollection/LMKR/_workitems/edit/19356" TargetMode="External"/><Relationship Id="rId82" Type="http://schemas.openxmlformats.org/officeDocument/2006/relationships/hyperlink" Target="https://tfs.lmkr.net/tfs/DefaultCollection/LMKR/_workitems/edit/21144" TargetMode="External"/><Relationship Id="rId199" Type="http://schemas.openxmlformats.org/officeDocument/2006/relationships/hyperlink" Target="https://tfs.lmkr.net/tfs/web/wi.aspx?pcguid=30018faa-01b3-4ccb-92ec-14a111542996&amp;id=30383" TargetMode="External"/><Relationship Id="rId203" Type="http://schemas.openxmlformats.org/officeDocument/2006/relationships/hyperlink" Target="https://tfs.lmkr.net/tfs/web/wi.aspx?pcguid=30018faa-01b3-4ccb-92ec-14a111542996&amp;id=21615" TargetMode="External"/><Relationship Id="rId385" Type="http://schemas.openxmlformats.org/officeDocument/2006/relationships/hyperlink" Target="https://tfs.lmkr.net/tfs/web/UI/Pages/WorkItems/WorkItemEdit.aspx?id=25514&amp;pguid=cfec7082-5fcb-4dd8-a280-69cacc6e885d" TargetMode="External"/><Relationship Id="rId19" Type="http://schemas.openxmlformats.org/officeDocument/2006/relationships/hyperlink" Target="https://tfs.lmkr.net/tfs/DefaultCollection/LMKR/_workitems/edit/20324" TargetMode="External"/><Relationship Id="rId224" Type="http://schemas.openxmlformats.org/officeDocument/2006/relationships/hyperlink" Target="https://tfs.lmkr.net/tfs/DefaultCollection/LMKR/_workitems/edit/22874" TargetMode="External"/><Relationship Id="rId245" Type="http://schemas.openxmlformats.org/officeDocument/2006/relationships/hyperlink" Target="https://tfs.lmkr.net/tfs/DefaultCollection/LMKR/_workitems/edit/22892" TargetMode="External"/><Relationship Id="rId266" Type="http://schemas.openxmlformats.org/officeDocument/2006/relationships/hyperlink" Target="https://tfs.lmkr.net/tfs/web/UI/Pages/WorkItems/WorkItemEdit.aspx?id=23373&amp;pguid=cfec7082-5fcb-4dd8-a280-69cacc6e885d" TargetMode="External"/><Relationship Id="rId287" Type="http://schemas.openxmlformats.org/officeDocument/2006/relationships/hyperlink" Target="https://tfs.lmkr.net/tfs/web/UI/Pages/WorkItems/WorkItemEdit.aspx?id=23377&amp;pguid=cfec7082-5fcb-4dd8-a280-69cacc6e885d" TargetMode="External"/><Relationship Id="rId410" Type="http://schemas.openxmlformats.org/officeDocument/2006/relationships/hyperlink" Target="https://tfs.lmkr.net/tfs/web/UI/Pages/WorkItems/WorkItemEdit.aspx?id=33019&amp;pguid=cfec7082-5fcb-4dd8-a280-69cacc6e885d" TargetMode="External"/><Relationship Id="rId30" Type="http://schemas.openxmlformats.org/officeDocument/2006/relationships/hyperlink" Target="https://tfs.lmkr.net/tfs/DefaultCollection/LMKR/_workitems/edit/20221" TargetMode="External"/><Relationship Id="rId105" Type="http://schemas.openxmlformats.org/officeDocument/2006/relationships/hyperlink" Target="https://tfs.lmkr.net/tfs/DefaultCollection/LMKR/_workitems/edit/19309" TargetMode="External"/><Relationship Id="rId126" Type="http://schemas.openxmlformats.org/officeDocument/2006/relationships/hyperlink" Target="https://tfs.lmkr.net/tfs/DefaultCollection/LMKR/_workitems/edit/21494" TargetMode="External"/><Relationship Id="rId147" Type="http://schemas.openxmlformats.org/officeDocument/2006/relationships/hyperlink" Target="https://tfs.lmkr.net/tfs/DefaultCollection/LMKR/_workitems/edit/21551" TargetMode="External"/><Relationship Id="rId168" Type="http://schemas.openxmlformats.org/officeDocument/2006/relationships/hyperlink" Target="https://tfs.lmkr.net/tfs/DefaultCollection/LMKR/_workitems/edit/21592" TargetMode="External"/><Relationship Id="rId312" Type="http://schemas.openxmlformats.org/officeDocument/2006/relationships/hyperlink" Target="https://tfs.lmkr.net/tfs/web/UI/Pages/WorkItems/WorkItemEdit.aspx?id=24863&amp;pguid=cfec7082-5fcb-4dd8-a280-69cacc6e885d" TargetMode="External"/><Relationship Id="rId333" Type="http://schemas.openxmlformats.org/officeDocument/2006/relationships/hyperlink" Target="https://tfs.lmkr.net/tfs/web/UI/Pages/WorkItems/WorkItemEdit.aspx?id=24841&amp;pguid=cfec7082-5fcb-4dd8-a280-69cacc6e885d" TargetMode="External"/><Relationship Id="rId354" Type="http://schemas.openxmlformats.org/officeDocument/2006/relationships/hyperlink" Target="https://tfs.lmkr.net/tfs/web/UI/Pages/WorkItems/WorkItemEdit.aspx?id=25560&amp;pguid=cfec7082-5fcb-4dd8-a280-69cacc6e885d" TargetMode="External"/><Relationship Id="rId51" Type="http://schemas.openxmlformats.org/officeDocument/2006/relationships/hyperlink" Target="https://tfs.lmkr.net/tfs/DefaultCollection/LMKR/_workitems/edit/19355" TargetMode="External"/><Relationship Id="rId72" Type="http://schemas.openxmlformats.org/officeDocument/2006/relationships/hyperlink" Target="https://tfs.lmkr.net/tfs/DefaultCollection/LMKR/_workitems/edit/20182" TargetMode="External"/><Relationship Id="rId93" Type="http://schemas.openxmlformats.org/officeDocument/2006/relationships/hyperlink" Target="https://tfs.lmkr.net/tfs/DefaultCollection/LMKR/_workitems/edit/21157" TargetMode="External"/><Relationship Id="rId189" Type="http://schemas.openxmlformats.org/officeDocument/2006/relationships/hyperlink" Target="https://tfs.lmkr.net/tfs/web/wi.aspx?pcguid=30018faa-01b3-4ccb-92ec-14a111542996&amp;id=21287" TargetMode="External"/><Relationship Id="rId375" Type="http://schemas.openxmlformats.org/officeDocument/2006/relationships/hyperlink" Target="https://tfs.lmkr.net/tfs/web/UI/Pages/WorkItems/WorkItemEdit.aspx?id=25642&amp;pguid=cfec7082-5fcb-4dd8-a280-69cacc6e885d" TargetMode="External"/><Relationship Id="rId396" Type="http://schemas.openxmlformats.org/officeDocument/2006/relationships/hyperlink" Target="https://tfs.lmkr.net/tfs/web/UI/Pages/WorkItems/WorkItemEdit.aspx?id=33019&amp;pguid=cfec7082-5fcb-4dd8-a280-69cacc6e885d" TargetMode="External"/><Relationship Id="rId3" Type="http://schemas.openxmlformats.org/officeDocument/2006/relationships/hyperlink" Target="https://tfs.lmkr.net/tfs/DefaultCollection/LMKR/_workitems/edit/19359" TargetMode="External"/><Relationship Id="rId214" Type="http://schemas.openxmlformats.org/officeDocument/2006/relationships/hyperlink" Target="https://tfs.lmkr.net/tfs/web/wi.aspx?pcguid=30018faa-01b3-4ccb-92ec-14a111542996&amp;id=21500" TargetMode="External"/><Relationship Id="rId235" Type="http://schemas.openxmlformats.org/officeDocument/2006/relationships/hyperlink" Target="https://tfs.lmkr.net/tfs/DefaultCollection/LMKR/_workitems/edit/22961" TargetMode="External"/><Relationship Id="rId256" Type="http://schemas.openxmlformats.org/officeDocument/2006/relationships/hyperlink" Target="https://tfs.lmkr.net/tfs/DefaultCollection/LMKR/_workitems/edit/22871" TargetMode="External"/><Relationship Id="rId277" Type="http://schemas.openxmlformats.org/officeDocument/2006/relationships/hyperlink" Target="https://tfs.lmkr.net/tfs/web/UI/Pages/WorkItems/WorkItemEdit.aspx?id=23385&amp;pguid=cfec7082-5fcb-4dd8-a280-69cacc6e885d" TargetMode="External"/><Relationship Id="rId298" Type="http://schemas.openxmlformats.org/officeDocument/2006/relationships/hyperlink" Target="https://tfs.lmkr.net/tfs/web/UI/Pages/WorkItems/WorkItemEdit.aspx?id=23385&amp;pguid=cfec7082-5fcb-4dd8-a280-69cacc6e885d" TargetMode="External"/><Relationship Id="rId400" Type="http://schemas.openxmlformats.org/officeDocument/2006/relationships/hyperlink" Target="https://tfs.lmkr.net/tfs/web/UI/Pages/WorkItems/WorkItemEdit.aspx?id=25515&amp;pguid=cfec7082-5fcb-4dd8-a280-69cacc6e885d" TargetMode="External"/><Relationship Id="rId116" Type="http://schemas.openxmlformats.org/officeDocument/2006/relationships/hyperlink" Target="https://tfs.lmkr.net/tfs/DefaultCollection/LMKR/_workitems/edit/19555" TargetMode="External"/><Relationship Id="rId137" Type="http://schemas.openxmlformats.org/officeDocument/2006/relationships/hyperlink" Target="https://tfs.lmkr.net/tfs/DefaultCollection/LMKR/_workitems/edit/21511" TargetMode="External"/><Relationship Id="rId158" Type="http://schemas.openxmlformats.org/officeDocument/2006/relationships/hyperlink" Target="https://tfs.lmkr.net/tfs/DefaultCollection/LMKR/_workitems/edit/21576" TargetMode="External"/><Relationship Id="rId302" Type="http://schemas.openxmlformats.org/officeDocument/2006/relationships/hyperlink" Target="https://tfs.lmkr.net/tfs/web/UI/Pages/WorkItems/WorkItemEdit.aspx?id=23356&amp;pguid=cfec7082-5fcb-4dd8-a280-69cacc6e885d" TargetMode="External"/><Relationship Id="rId323" Type="http://schemas.openxmlformats.org/officeDocument/2006/relationships/hyperlink" Target="https://tfs.lmkr.net/tfs/web/UI/Pages/WorkItems/WorkItemEdit.aspx?id=24929&amp;pguid=cfec7082-5fcb-4dd8-a280-69cacc6e885d" TargetMode="External"/><Relationship Id="rId344" Type="http://schemas.openxmlformats.org/officeDocument/2006/relationships/hyperlink" Target="https://tfs.lmkr.net/tfs/web/UI/Pages/WorkItems/WorkItemEdit.aspx?id=25592&amp;pguid=cfec7082-5fcb-4dd8-a280-69cacc6e885d" TargetMode="External"/><Relationship Id="rId20" Type="http://schemas.openxmlformats.org/officeDocument/2006/relationships/hyperlink" Target="https://tfs.lmkr.net/tfs/DefaultCollection/LMKR/_workitems/edit/20325" TargetMode="External"/><Relationship Id="rId41" Type="http://schemas.openxmlformats.org/officeDocument/2006/relationships/hyperlink" Target="https://tfs.lmkr.net/tfs/DefaultCollection/LMKR/_workitems/edit/19548" TargetMode="External"/><Relationship Id="rId62" Type="http://schemas.openxmlformats.org/officeDocument/2006/relationships/hyperlink" Target="https://tfs.lmkr.net/tfs/DefaultCollection/LMKR/_workitems/edit/19360" TargetMode="External"/><Relationship Id="rId83" Type="http://schemas.openxmlformats.org/officeDocument/2006/relationships/hyperlink" Target="https://tfs.lmkr.net/tfs/DefaultCollection/LMKR/_workitems/edit/21145" TargetMode="External"/><Relationship Id="rId179" Type="http://schemas.openxmlformats.org/officeDocument/2006/relationships/hyperlink" Target="https://tfs.lmkr.net/tfs/DefaultCollection/LMKR/_workitems/edit/21567" TargetMode="External"/><Relationship Id="rId365" Type="http://schemas.openxmlformats.org/officeDocument/2006/relationships/hyperlink" Target="https://tfs.lmkr.net/tfs/web/wi.aspx?pcguid=30018faa-01b3-4ccb-92ec-14a111542996&amp;id=32105" TargetMode="External"/><Relationship Id="rId386" Type="http://schemas.openxmlformats.org/officeDocument/2006/relationships/hyperlink" Target="https://tfs.lmkr.net/tfs/web/UI/Pages/WorkItems/WorkItemEdit.aspx?id=25515&amp;pguid=cfec7082-5fcb-4dd8-a280-69cacc6e885d" TargetMode="External"/><Relationship Id="rId190" Type="http://schemas.openxmlformats.org/officeDocument/2006/relationships/hyperlink" Target="https://tfs.lmkr.net/tfs/web/wi.aspx?pcguid=30018faa-01b3-4ccb-92ec-14a111542996&amp;id=21288" TargetMode="External"/><Relationship Id="rId204" Type="http://schemas.openxmlformats.org/officeDocument/2006/relationships/hyperlink" Target="https://tfs.lmkr.net/tfs/web/wi.aspx?pcguid=30018faa-01b3-4ccb-92ec-14a111542996&amp;id=21616" TargetMode="External"/><Relationship Id="rId225" Type="http://schemas.openxmlformats.org/officeDocument/2006/relationships/hyperlink" Target="https://tfs.lmkr.net/tfs/DefaultCollection/LMKR/_workitems/edit/22871" TargetMode="External"/><Relationship Id="rId246" Type="http://schemas.openxmlformats.org/officeDocument/2006/relationships/hyperlink" Target="https://tfs.lmkr.net/tfs/DefaultCollection/LMKR/_workitems/edit/22888" TargetMode="External"/><Relationship Id="rId267" Type="http://schemas.openxmlformats.org/officeDocument/2006/relationships/hyperlink" Target="https://tfs.lmkr.net/tfs/web/UI/Pages/WorkItems/WorkItemEdit.aspx?id=23387&amp;pguid=cfec7082-5fcb-4dd8-a280-69cacc6e885d" TargetMode="External"/><Relationship Id="rId288" Type="http://schemas.openxmlformats.org/officeDocument/2006/relationships/hyperlink" Target="https://tfs.lmkr.net/tfs/web/UI/Pages/WorkItems/WorkItemEdit.aspx?id=23378&amp;pguid=cfec7082-5fcb-4dd8-a280-69cacc6e885d" TargetMode="External"/><Relationship Id="rId411" Type="http://schemas.openxmlformats.org/officeDocument/2006/relationships/printerSettings" Target="../printerSettings/printerSettings2.bin"/><Relationship Id="rId106" Type="http://schemas.openxmlformats.org/officeDocument/2006/relationships/hyperlink" Target="https://tfs.lmkr.net/tfs/DefaultCollection/LMKR/_workitems/edit/21127" TargetMode="External"/><Relationship Id="rId127" Type="http://schemas.openxmlformats.org/officeDocument/2006/relationships/hyperlink" Target="https://tfs.lmkr.net/tfs/DefaultCollection/LMKR/_workitems/edit/21497" TargetMode="External"/><Relationship Id="rId313" Type="http://schemas.openxmlformats.org/officeDocument/2006/relationships/hyperlink" Target="https://tfs.lmkr.net/tfs/web/UI/Pages/WorkItems/WorkItemEdit.aspx?id=24878&amp;pguid=cfec7082-5fcb-4dd8-a280-69cacc6e885d" TargetMode="External"/><Relationship Id="rId10" Type="http://schemas.openxmlformats.org/officeDocument/2006/relationships/hyperlink" Target="https://tfs.lmkr.net/tfs/DefaultCollection/LMKR/_workitems/edit/19362" TargetMode="External"/><Relationship Id="rId31" Type="http://schemas.openxmlformats.org/officeDocument/2006/relationships/hyperlink" Target="https://tfs.lmkr.net/tfs/DefaultCollection/LMKR/_workitems/edit/29490" TargetMode="External"/><Relationship Id="rId52" Type="http://schemas.openxmlformats.org/officeDocument/2006/relationships/hyperlink" Target="https://tfs.lmkr.net/tfs/DefaultCollection/LMKR/_workitems/edit/19352" TargetMode="External"/><Relationship Id="rId73" Type="http://schemas.openxmlformats.org/officeDocument/2006/relationships/hyperlink" Target="https://tfs.lmkr.net/tfs/DefaultCollection/LMKR/_workitems/edit/29323" TargetMode="External"/><Relationship Id="rId94" Type="http://schemas.openxmlformats.org/officeDocument/2006/relationships/hyperlink" Target="https://tfs.lmkr.net/tfs/DefaultCollection/LMKR/_workitems/edit/21154" TargetMode="External"/><Relationship Id="rId148" Type="http://schemas.openxmlformats.org/officeDocument/2006/relationships/hyperlink" Target="https://tfs.lmkr.net/tfs/DefaultCollection/LMKR/_workitems/edit/21552" TargetMode="External"/><Relationship Id="rId169" Type="http://schemas.openxmlformats.org/officeDocument/2006/relationships/hyperlink" Target="https://tfs.lmkr.net/tfs/DefaultCollection/LMKR/_workitems/edit/21579" TargetMode="External"/><Relationship Id="rId334" Type="http://schemas.openxmlformats.org/officeDocument/2006/relationships/hyperlink" Target="https://tfs.lmkr.net/tfs/web/UI/Pages/WorkItems/WorkItemEdit.aspx?id=24863&amp;pguid=cfec7082-5fcb-4dd8-a280-69cacc6e885d" TargetMode="External"/><Relationship Id="rId355" Type="http://schemas.openxmlformats.org/officeDocument/2006/relationships/hyperlink" Target="https://tfs.lmkr.net/tfs/web/UI/Pages/WorkItems/WorkItemEdit.aspx?id=25635&amp;pguid=cfec7082-5fcb-4dd8-a280-69cacc6e885d" TargetMode="External"/><Relationship Id="rId376" Type="http://schemas.openxmlformats.org/officeDocument/2006/relationships/hyperlink" Target="https://tfs.lmkr.net/tfs/web/UI/Pages/WorkItems/WorkItemEdit.aspx?id=25564&amp;pguid=cfec7082-5fcb-4dd8-a280-69cacc6e885d" TargetMode="External"/><Relationship Id="rId397" Type="http://schemas.openxmlformats.org/officeDocument/2006/relationships/hyperlink" Target="https://tfs.lmkr.net/tfs/web/UI/Pages/WorkItems/WorkItemEdit.aspx?id=25491&amp;pguid=cfec7082-5fcb-4dd8-a280-69cacc6e885d" TargetMode="External"/><Relationship Id="rId4" Type="http://schemas.openxmlformats.org/officeDocument/2006/relationships/hyperlink" Target="https://tfs.lmkr.net/tfs/DefaultCollection/LMKR/_workitems/edit/19341" TargetMode="External"/><Relationship Id="rId180" Type="http://schemas.openxmlformats.org/officeDocument/2006/relationships/hyperlink" Target="https://tfs.lmkr.net/tfs/DefaultCollection/LMKR/_workitems/edit/21599" TargetMode="External"/><Relationship Id="rId215" Type="http://schemas.openxmlformats.org/officeDocument/2006/relationships/hyperlink" Target="https://tfs.lmkr.net/tfs/web/wi.aspx?pcguid=30018faa-01b3-4ccb-92ec-14a111542996&amp;id=21398" TargetMode="External"/><Relationship Id="rId236" Type="http://schemas.openxmlformats.org/officeDocument/2006/relationships/hyperlink" Target="https://tfs.lmkr.net/tfs/DefaultCollection/LMKR/_workitems/edit/22870" TargetMode="External"/><Relationship Id="rId257" Type="http://schemas.openxmlformats.org/officeDocument/2006/relationships/hyperlink" Target="https://tfs.lmkr.net/tfs/DefaultCollection/LMKR/_workitems/edit/22887" TargetMode="External"/><Relationship Id="rId278" Type="http://schemas.openxmlformats.org/officeDocument/2006/relationships/hyperlink" Target="https://tfs.lmkr.net/tfs/web/UI/Pages/WorkItems/WorkItemEdit.aspx?id=23293&amp;pguid=cfec7082-5fcb-4dd8-a280-69cacc6e885d" TargetMode="External"/><Relationship Id="rId401" Type="http://schemas.openxmlformats.org/officeDocument/2006/relationships/hyperlink" Target="https://tfs.lmkr.net/tfs/web/UI/Pages/WorkItems/WorkItemEdit.aspx?id=25513&amp;pguid=cfec7082-5fcb-4dd8-a280-69cacc6e885d" TargetMode="External"/><Relationship Id="rId303" Type="http://schemas.openxmlformats.org/officeDocument/2006/relationships/hyperlink" Target="https://tfs.lmkr.net/tfs/web/UI/Pages/WorkItems/WorkItemEdit.aspx?id=24909&amp;pguid=cfec7082-5fcb-4dd8-a280-69cacc6e885d" TargetMode="External"/><Relationship Id="rId42" Type="http://schemas.openxmlformats.org/officeDocument/2006/relationships/hyperlink" Target="https://tfs.lmkr.net/tfs/DefaultCollection/LMKR/_workitems/edit/19549" TargetMode="External"/><Relationship Id="rId84" Type="http://schemas.openxmlformats.org/officeDocument/2006/relationships/hyperlink" Target="https://tfs.lmkr.net/tfs/DefaultCollection/LMKR/_workitems/edit/21151" TargetMode="External"/><Relationship Id="rId138" Type="http://schemas.openxmlformats.org/officeDocument/2006/relationships/hyperlink" Target="https://tfs.lmkr.net/tfs/DefaultCollection/LMKR/_workitems/edit/21273" TargetMode="External"/><Relationship Id="rId345" Type="http://schemas.openxmlformats.org/officeDocument/2006/relationships/hyperlink" Target="https://tfs.lmkr.net/tfs/web/UI/Pages/WorkItems/WorkItemEdit.aspx?id=25600&amp;pguid=cfec7082-5fcb-4dd8-a280-69cacc6e885d" TargetMode="External"/><Relationship Id="rId387" Type="http://schemas.openxmlformats.org/officeDocument/2006/relationships/hyperlink" Target="https://tfs.lmkr.net/tfs/web/UI/Pages/WorkItems/WorkItemEdit.aspx?id=25513&amp;pguid=cfec7082-5fcb-4dd8-a280-69cacc6e885d" TargetMode="External"/><Relationship Id="rId191" Type="http://schemas.openxmlformats.org/officeDocument/2006/relationships/hyperlink" Target="https://tfs.lmkr.net/tfs/web/wi.aspx?pcguid=30018faa-01b3-4ccb-92ec-14a111542996&amp;id=21289" TargetMode="External"/><Relationship Id="rId205" Type="http://schemas.openxmlformats.org/officeDocument/2006/relationships/hyperlink" Target="https://tfs.lmkr.net/tfs/web/wi.aspx?pcguid=30018faa-01b3-4ccb-92ec-14a111542996&amp;id=21618" TargetMode="External"/><Relationship Id="rId247" Type="http://schemas.openxmlformats.org/officeDocument/2006/relationships/hyperlink" Target="https://tfs.lmkr.net/tfs/DefaultCollection/LMKR/_workitems/edit/22883" TargetMode="External"/><Relationship Id="rId412" Type="http://schemas.openxmlformats.org/officeDocument/2006/relationships/table" Target="../tables/table1.xml"/><Relationship Id="rId107" Type="http://schemas.openxmlformats.org/officeDocument/2006/relationships/hyperlink" Target="https://tfs.lmkr.net/tfs/DefaultCollection/LMKR/_workitems/edit/19722" TargetMode="External"/><Relationship Id="rId289" Type="http://schemas.openxmlformats.org/officeDocument/2006/relationships/hyperlink" Target="https://tfs.lmkr.net/tfs/web/UI/Pages/WorkItems/WorkItemEdit.aspx?id=23375&amp;pguid=cfec7082-5fcb-4dd8-a280-69cacc6e885d" TargetMode="External"/><Relationship Id="rId11" Type="http://schemas.openxmlformats.org/officeDocument/2006/relationships/hyperlink" Target="https://tfs.lmkr.net/tfs/DefaultCollection/LMKR/_workitems/edit/19343" TargetMode="External"/><Relationship Id="rId53" Type="http://schemas.openxmlformats.org/officeDocument/2006/relationships/hyperlink" Target="https://tfs.lmkr.net/tfs/DefaultCollection/LMKR/_workitems/edit/19347" TargetMode="External"/><Relationship Id="rId149" Type="http://schemas.openxmlformats.org/officeDocument/2006/relationships/hyperlink" Target="https://tfs.lmkr.net/tfs/DefaultCollection/LMKR/_workitems/edit/21561" TargetMode="External"/><Relationship Id="rId314" Type="http://schemas.openxmlformats.org/officeDocument/2006/relationships/hyperlink" Target="https://tfs.lmkr.net/tfs/web/UI/Pages/WorkItems/WorkItemEdit.aspx?id=24837&amp;pguid=cfec7082-5fcb-4dd8-a280-69cacc6e885d" TargetMode="External"/><Relationship Id="rId356" Type="http://schemas.openxmlformats.org/officeDocument/2006/relationships/hyperlink" Target="https://tfs.lmkr.net/tfs/web/UI/Pages/WorkItems/WorkItemEdit.aspx?id=25564&amp;pguid=cfec7082-5fcb-4dd8-a280-69cacc6e885d" TargetMode="External"/><Relationship Id="rId398" Type="http://schemas.openxmlformats.org/officeDocument/2006/relationships/hyperlink" Target="https://tfs.lmkr.net/tfs/web/UI/Pages/WorkItems/WorkItemEdit.aspx?id=25512&amp;pguid=cfec7082-5fcb-4dd8-a280-69cacc6e885d" TargetMode="External"/><Relationship Id="rId95" Type="http://schemas.openxmlformats.org/officeDocument/2006/relationships/hyperlink" Target="https://tfs.lmkr.net/tfs/DefaultCollection/LMKR/_workitems/edit/21150" TargetMode="External"/><Relationship Id="rId160" Type="http://schemas.openxmlformats.org/officeDocument/2006/relationships/hyperlink" Target="https://tfs.lmkr.net/tfs/DefaultCollection/LMKR/_workitems/edit/21565" TargetMode="External"/><Relationship Id="rId216" Type="http://schemas.openxmlformats.org/officeDocument/2006/relationships/hyperlink" Target="Client_Email_Backup\RE%20LMKR-GGX%20Please%20help%20assign%20new%20test%20cases%20for%20automation..msg"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1:G12"/>
  <sheetViews>
    <sheetView showGridLines="0" showRowColHeaders="0" tabSelected="1" workbookViewId="0">
      <selection activeCell="L16" sqref="L16"/>
    </sheetView>
  </sheetViews>
  <sheetFormatPr defaultRowHeight="15" x14ac:dyDescent="0.25"/>
  <sheetData>
    <row r="11" spans="1:7" ht="15" customHeight="1" x14ac:dyDescent="0.25">
      <c r="A11" s="270" t="s">
        <v>604</v>
      </c>
      <c r="B11" s="270"/>
      <c r="C11" s="270"/>
      <c r="D11" s="270"/>
      <c r="E11" s="270" t="s">
        <v>603</v>
      </c>
      <c r="F11" s="270"/>
      <c r="G11" s="270"/>
    </row>
    <row r="12" spans="1:7" ht="15" customHeight="1" x14ac:dyDescent="0.25">
      <c r="A12" s="270"/>
      <c r="B12" s="270"/>
      <c r="C12" s="270"/>
      <c r="D12" s="270"/>
      <c r="E12" s="270"/>
      <c r="F12" s="270"/>
      <c r="G12" s="270"/>
    </row>
  </sheetData>
  <mergeCells count="2">
    <mergeCell ref="E11:G12"/>
    <mergeCell ref="A11:D1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2:U520"/>
  <sheetViews>
    <sheetView showGridLines="0" zoomScale="85" zoomScaleNormal="85" workbookViewId="0">
      <selection activeCell="A531" sqref="A531"/>
    </sheetView>
  </sheetViews>
  <sheetFormatPr defaultRowHeight="15" outlineLevelRow="2" x14ac:dyDescent="0.25"/>
  <cols>
    <col min="1" max="1" width="11.7109375" style="2" customWidth="1"/>
    <col min="2" max="2" width="46.140625" style="3" customWidth="1"/>
    <col min="3" max="3" width="18.42578125" style="2" customWidth="1"/>
    <col min="4" max="4" width="20.85546875" style="16" customWidth="1"/>
    <col min="5" max="5" width="18.7109375" style="16" customWidth="1"/>
    <col min="6" max="6" width="28.85546875" style="2" customWidth="1"/>
    <col min="7" max="7" width="44.85546875" style="2" customWidth="1"/>
    <col min="8" max="8" width="78.42578125" style="4" customWidth="1"/>
    <col min="9" max="9" width="19.28515625" style="4" customWidth="1"/>
    <col min="10" max="10" width="13.85546875" style="5" customWidth="1"/>
    <col min="11" max="12" width="16.5703125" style="2" customWidth="1"/>
    <col min="13" max="13" width="15" style="1" customWidth="1"/>
    <col min="14" max="14" width="17.140625" style="1" customWidth="1"/>
    <col min="15" max="16384" width="9.140625" style="1"/>
  </cols>
  <sheetData>
    <row r="2" spans="1:14" ht="23.25" x14ac:dyDescent="0.25">
      <c r="B2" s="51" t="s">
        <v>608</v>
      </c>
    </row>
    <row r="3" spans="1:14" s="25" customFormat="1" ht="47.25" collapsed="1" x14ac:dyDescent="0.25">
      <c r="A3" s="21" t="s">
        <v>0</v>
      </c>
      <c r="B3" s="21" t="s">
        <v>1</v>
      </c>
      <c r="C3" s="21" t="s">
        <v>2</v>
      </c>
      <c r="D3" s="21" t="s">
        <v>420</v>
      </c>
      <c r="E3" s="21" t="s">
        <v>556</v>
      </c>
      <c r="F3" s="21" t="s">
        <v>507</v>
      </c>
      <c r="G3" s="21" t="s">
        <v>4</v>
      </c>
      <c r="H3" s="21" t="s">
        <v>31</v>
      </c>
      <c r="I3" s="22" t="s">
        <v>511</v>
      </c>
      <c r="J3" s="23" t="s">
        <v>510</v>
      </c>
      <c r="K3" s="24" t="s">
        <v>508</v>
      </c>
      <c r="L3" s="22" t="s">
        <v>509</v>
      </c>
      <c r="M3" s="22" t="s">
        <v>554</v>
      </c>
      <c r="N3" s="54"/>
    </row>
    <row r="4" spans="1:14" hidden="1" outlineLevel="1" x14ac:dyDescent="0.25">
      <c r="A4" s="12"/>
      <c r="B4" s="13" t="s">
        <v>12</v>
      </c>
      <c r="C4" s="12"/>
      <c r="D4" s="121"/>
      <c r="E4" s="121"/>
      <c r="F4" s="121"/>
      <c r="G4" s="13"/>
      <c r="H4" s="13"/>
      <c r="I4" s="12"/>
      <c r="J4" s="12"/>
      <c r="K4" s="12"/>
      <c r="L4" s="12"/>
      <c r="M4" s="177">
        <v>42183</v>
      </c>
    </row>
    <row r="5" spans="1:14" ht="15" hidden="1" customHeight="1" outlineLevel="2" x14ac:dyDescent="0.25">
      <c r="A5" s="131">
        <v>19547</v>
      </c>
      <c r="B5" s="45" t="s">
        <v>13</v>
      </c>
      <c r="C5" s="41" t="s">
        <v>3</v>
      </c>
      <c r="D5" s="122">
        <v>3.1597222222222222E-3</v>
      </c>
      <c r="E5" s="122" t="s">
        <v>422</v>
      </c>
      <c r="F5" s="122" t="b">
        <v>1</v>
      </c>
      <c r="G5" s="20"/>
      <c r="H5" s="20"/>
      <c r="I5" s="42"/>
      <c r="J5" s="35"/>
      <c r="K5" s="36" t="b">
        <v>1</v>
      </c>
      <c r="L5" s="33" t="s">
        <v>231</v>
      </c>
      <c r="M5" s="30">
        <v>42183</v>
      </c>
    </row>
    <row r="6" spans="1:14" ht="15" hidden="1" customHeight="1" outlineLevel="2" x14ac:dyDescent="0.25">
      <c r="A6" s="131">
        <v>19548</v>
      </c>
      <c r="B6" s="45" t="s">
        <v>14</v>
      </c>
      <c r="C6" s="41" t="s">
        <v>3</v>
      </c>
      <c r="D6" s="122">
        <v>5.7291666666666671E-3</v>
      </c>
      <c r="E6" s="122" t="s">
        <v>422</v>
      </c>
      <c r="F6" s="122" t="b">
        <v>1</v>
      </c>
      <c r="G6" s="20"/>
      <c r="H6" s="20"/>
      <c r="I6" s="42"/>
      <c r="J6" s="35"/>
      <c r="K6" s="36" t="b">
        <v>1</v>
      </c>
      <c r="L6" s="33" t="s">
        <v>231</v>
      </c>
      <c r="M6" s="30">
        <v>42020</v>
      </c>
    </row>
    <row r="7" spans="1:14" ht="15" hidden="1" customHeight="1" outlineLevel="2" x14ac:dyDescent="0.25">
      <c r="A7" s="131">
        <v>19549</v>
      </c>
      <c r="B7" s="45" t="s">
        <v>15</v>
      </c>
      <c r="C7" s="41" t="s">
        <v>3</v>
      </c>
      <c r="D7" s="122">
        <v>2.5810185185185185E-3</v>
      </c>
      <c r="E7" s="122" t="s">
        <v>422</v>
      </c>
      <c r="F7" s="122" t="b">
        <v>1</v>
      </c>
      <c r="G7" s="20"/>
      <c r="H7" s="20"/>
      <c r="I7" s="42"/>
      <c r="J7" s="35"/>
      <c r="K7" s="36" t="b">
        <v>1</v>
      </c>
      <c r="L7" s="33" t="s">
        <v>231</v>
      </c>
      <c r="M7" s="30">
        <v>42020</v>
      </c>
    </row>
    <row r="8" spans="1:14" ht="15" hidden="1" customHeight="1" outlineLevel="2" x14ac:dyDescent="0.25">
      <c r="A8" s="131">
        <v>19550</v>
      </c>
      <c r="B8" s="45" t="s">
        <v>16</v>
      </c>
      <c r="C8" s="41" t="s">
        <v>3</v>
      </c>
      <c r="D8" s="122">
        <v>2.1759259259259258E-3</v>
      </c>
      <c r="E8" s="122" t="s">
        <v>422</v>
      </c>
      <c r="F8" s="122" t="b">
        <v>1</v>
      </c>
      <c r="G8" s="20"/>
      <c r="H8" s="20"/>
      <c r="I8" s="42"/>
      <c r="J8" s="35"/>
      <c r="K8" s="36" t="b">
        <v>1</v>
      </c>
      <c r="L8" s="33" t="s">
        <v>231</v>
      </c>
      <c r="M8" s="30">
        <v>42020</v>
      </c>
    </row>
    <row r="9" spans="1:14" ht="15" hidden="1" customHeight="1" outlineLevel="2" x14ac:dyDescent="0.25">
      <c r="A9" s="131">
        <v>19551</v>
      </c>
      <c r="B9" s="45" t="s">
        <v>17</v>
      </c>
      <c r="C9" s="41" t="s">
        <v>3</v>
      </c>
      <c r="D9" s="122">
        <v>1.8750000000000001E-3</v>
      </c>
      <c r="E9" s="122" t="s">
        <v>422</v>
      </c>
      <c r="F9" s="122" t="b">
        <v>1</v>
      </c>
      <c r="G9" s="20"/>
      <c r="H9" s="20"/>
      <c r="I9" s="42"/>
      <c r="J9" s="35"/>
      <c r="K9" s="36" t="b">
        <v>1</v>
      </c>
      <c r="L9" s="33" t="s">
        <v>231</v>
      </c>
      <c r="M9" s="30">
        <v>42020</v>
      </c>
    </row>
    <row r="10" spans="1:14" ht="15" hidden="1" customHeight="1" outlineLevel="2" x14ac:dyDescent="0.25">
      <c r="A10" s="131">
        <v>19552</v>
      </c>
      <c r="B10" s="45" t="s">
        <v>18</v>
      </c>
      <c r="C10" s="41" t="s">
        <v>3</v>
      </c>
      <c r="D10" s="122">
        <v>8.5763888888888886E-3</v>
      </c>
      <c r="E10" s="122" t="s">
        <v>422</v>
      </c>
      <c r="F10" s="122" t="b">
        <v>1</v>
      </c>
      <c r="G10" s="20"/>
      <c r="H10" s="20"/>
      <c r="I10" s="42"/>
      <c r="J10" s="35"/>
      <c r="K10" s="36" t="b">
        <v>1</v>
      </c>
      <c r="L10" s="33" t="s">
        <v>231</v>
      </c>
      <c r="M10" s="30">
        <v>42020</v>
      </c>
    </row>
    <row r="11" spans="1:14" ht="15" hidden="1" customHeight="1" outlineLevel="2" x14ac:dyDescent="0.25">
      <c r="A11" s="131">
        <v>19553</v>
      </c>
      <c r="B11" s="45" t="s">
        <v>19</v>
      </c>
      <c r="C11" s="41" t="s">
        <v>3</v>
      </c>
      <c r="D11" s="122">
        <v>1.1226851851851851E-3</v>
      </c>
      <c r="E11" s="122" t="s">
        <v>422</v>
      </c>
      <c r="F11" s="122" t="b">
        <v>1</v>
      </c>
      <c r="G11" s="20"/>
      <c r="H11" s="20"/>
      <c r="I11" s="42"/>
      <c r="J11" s="35"/>
      <c r="K11" s="36" t="b">
        <v>1</v>
      </c>
      <c r="L11" s="33" t="s">
        <v>231</v>
      </c>
      <c r="M11" s="30">
        <v>42020</v>
      </c>
    </row>
    <row r="12" spans="1:14" ht="15" hidden="1" customHeight="1" outlineLevel="2" x14ac:dyDescent="0.25">
      <c r="A12" s="131">
        <v>19554</v>
      </c>
      <c r="B12" s="45" t="s">
        <v>20</v>
      </c>
      <c r="C12" s="41" t="s">
        <v>3</v>
      </c>
      <c r="D12" s="122">
        <v>8.4722222222222213E-3</v>
      </c>
      <c r="E12" s="122" t="s">
        <v>422</v>
      </c>
      <c r="F12" s="122" t="b">
        <v>1</v>
      </c>
      <c r="G12" s="20"/>
      <c r="H12" s="20"/>
      <c r="I12" s="42"/>
      <c r="J12" s="35"/>
      <c r="K12" s="36" t="b">
        <v>1</v>
      </c>
      <c r="L12" s="33" t="s">
        <v>231</v>
      </c>
      <c r="M12" s="30">
        <v>42020</v>
      </c>
    </row>
    <row r="13" spans="1:14" ht="15" hidden="1" customHeight="1" outlineLevel="2" x14ac:dyDescent="0.25">
      <c r="A13" s="131">
        <v>19555</v>
      </c>
      <c r="B13" s="45" t="s">
        <v>21</v>
      </c>
      <c r="C13" s="41" t="s">
        <v>3</v>
      </c>
      <c r="D13" s="122">
        <v>1.0648148148148147E-3</v>
      </c>
      <c r="E13" s="122" t="s">
        <v>422</v>
      </c>
      <c r="F13" s="122" t="b">
        <v>1</v>
      </c>
      <c r="G13" s="20"/>
      <c r="H13" s="20"/>
      <c r="I13" s="42"/>
      <c r="J13" s="35"/>
      <c r="K13" s="36" t="b">
        <v>1</v>
      </c>
      <c r="L13" s="33" t="s">
        <v>231</v>
      </c>
      <c r="M13" s="30">
        <v>42020</v>
      </c>
    </row>
    <row r="14" spans="1:14" ht="15" hidden="1" customHeight="1" outlineLevel="2" x14ac:dyDescent="0.25">
      <c r="A14" s="131">
        <v>19556</v>
      </c>
      <c r="B14" s="45" t="s">
        <v>22</v>
      </c>
      <c r="C14" s="41" t="s">
        <v>3</v>
      </c>
      <c r="D14" s="122">
        <v>4.2476851851851851E-3</v>
      </c>
      <c r="E14" s="122" t="s">
        <v>422</v>
      </c>
      <c r="F14" s="122" t="b">
        <v>1</v>
      </c>
      <c r="G14" s="20"/>
      <c r="H14" s="20"/>
      <c r="I14" s="42"/>
      <c r="J14" s="35"/>
      <c r="K14" s="36" t="b">
        <v>1</v>
      </c>
      <c r="L14" s="33" t="s">
        <v>231</v>
      </c>
      <c r="M14" s="30">
        <v>42020</v>
      </c>
    </row>
    <row r="15" spans="1:14" s="18" customFormat="1" hidden="1" outlineLevel="1" x14ac:dyDescent="0.25">
      <c r="A15" s="12"/>
      <c r="B15" s="13" t="s">
        <v>23</v>
      </c>
      <c r="C15" s="12"/>
      <c r="D15" s="121"/>
      <c r="E15" s="121"/>
      <c r="F15" s="121"/>
      <c r="G15" s="13"/>
      <c r="H15" s="17"/>
      <c r="I15" s="12"/>
      <c r="J15" s="12"/>
      <c r="K15" s="12"/>
      <c r="L15" s="12"/>
      <c r="M15" s="177"/>
    </row>
    <row r="16" spans="1:14" s="18" customFormat="1" ht="51" hidden="1" customHeight="1" outlineLevel="2" x14ac:dyDescent="0.25">
      <c r="A16" s="131">
        <v>19717</v>
      </c>
      <c r="B16" s="45" t="s">
        <v>24</v>
      </c>
      <c r="C16" s="37" t="s">
        <v>3</v>
      </c>
      <c r="D16" s="122">
        <v>8.0787037037037043E-3</v>
      </c>
      <c r="E16" s="122" t="s">
        <v>422</v>
      </c>
      <c r="F16" s="122" t="b">
        <v>1</v>
      </c>
      <c r="G16" s="108"/>
      <c r="H16" s="43" t="s">
        <v>25</v>
      </c>
      <c r="I16" s="40"/>
      <c r="J16" s="35"/>
      <c r="K16" s="36" t="b">
        <v>1</v>
      </c>
      <c r="L16" s="33" t="s">
        <v>231</v>
      </c>
      <c r="M16" s="30">
        <v>42020</v>
      </c>
    </row>
    <row r="17" spans="1:13" s="18" customFormat="1" ht="15" hidden="1" customHeight="1" outlineLevel="2" x14ac:dyDescent="0.25">
      <c r="A17" s="131">
        <v>19355</v>
      </c>
      <c r="B17" s="45" t="s">
        <v>26</v>
      </c>
      <c r="C17" s="41" t="s">
        <v>3</v>
      </c>
      <c r="D17" s="122">
        <v>1.5393518518518519E-3</v>
      </c>
      <c r="E17" s="122" t="s">
        <v>422</v>
      </c>
      <c r="F17" s="122" t="b">
        <v>1</v>
      </c>
      <c r="G17" s="20"/>
      <c r="H17" s="43"/>
      <c r="I17" s="40"/>
      <c r="J17" s="35"/>
      <c r="K17" s="36" t="b">
        <v>1</v>
      </c>
      <c r="L17" s="33" t="s">
        <v>231</v>
      </c>
      <c r="M17" s="30">
        <v>42020</v>
      </c>
    </row>
    <row r="18" spans="1:13" s="18" customFormat="1" ht="15" hidden="1" customHeight="1" outlineLevel="2" x14ac:dyDescent="0.25">
      <c r="A18" s="131">
        <v>19352</v>
      </c>
      <c r="B18" s="45" t="s">
        <v>27</v>
      </c>
      <c r="C18" s="41" t="s">
        <v>3</v>
      </c>
      <c r="D18" s="122">
        <v>2.685185185185185E-3</v>
      </c>
      <c r="E18" s="122" t="s">
        <v>422</v>
      </c>
      <c r="F18" s="122" t="b">
        <v>1</v>
      </c>
      <c r="G18" s="20"/>
      <c r="H18" s="43"/>
      <c r="I18" s="40"/>
      <c r="J18" s="35"/>
      <c r="K18" s="36" t="b">
        <v>1</v>
      </c>
      <c r="L18" s="33" t="s">
        <v>231</v>
      </c>
      <c r="M18" s="30">
        <v>42020</v>
      </c>
    </row>
    <row r="19" spans="1:13" s="18" customFormat="1" ht="15" hidden="1" customHeight="1" outlineLevel="2" x14ac:dyDescent="0.25">
      <c r="A19" s="131">
        <v>19347</v>
      </c>
      <c r="B19" s="45" t="s">
        <v>28</v>
      </c>
      <c r="C19" s="41" t="s">
        <v>3</v>
      </c>
      <c r="D19" s="122">
        <v>3.483796296296296E-3</v>
      </c>
      <c r="E19" s="122" t="s">
        <v>422</v>
      </c>
      <c r="F19" s="122" t="b">
        <v>1</v>
      </c>
      <c r="G19" s="20"/>
      <c r="H19" s="43"/>
      <c r="I19" s="40"/>
      <c r="J19" s="35"/>
      <c r="K19" s="36" t="b">
        <v>1</v>
      </c>
      <c r="L19" s="33" t="s">
        <v>231</v>
      </c>
      <c r="M19" s="30">
        <v>42020</v>
      </c>
    </row>
    <row r="20" spans="1:13" s="18" customFormat="1" ht="15" hidden="1" customHeight="1" outlineLevel="2" x14ac:dyDescent="0.25">
      <c r="A20" s="131">
        <v>19557</v>
      </c>
      <c r="B20" s="45" t="s">
        <v>29</v>
      </c>
      <c r="C20" s="41" t="s">
        <v>3</v>
      </c>
      <c r="D20" s="122">
        <v>9.9537037037037042E-4</v>
      </c>
      <c r="E20" s="122" t="s">
        <v>422</v>
      </c>
      <c r="F20" s="122" t="b">
        <v>1</v>
      </c>
      <c r="G20" s="20"/>
      <c r="H20" s="43"/>
      <c r="I20" s="40"/>
      <c r="J20" s="35"/>
      <c r="K20" s="36" t="b">
        <v>1</v>
      </c>
      <c r="L20" s="33" t="s">
        <v>231</v>
      </c>
      <c r="M20" s="30">
        <v>42020</v>
      </c>
    </row>
    <row r="21" spans="1:13" s="18" customFormat="1" ht="15" hidden="1" customHeight="1" outlineLevel="2" x14ac:dyDescent="0.25">
      <c r="A21" s="131">
        <v>20014</v>
      </c>
      <c r="B21" s="45" t="s">
        <v>30</v>
      </c>
      <c r="C21" s="19" t="s">
        <v>3</v>
      </c>
      <c r="D21" s="122">
        <v>5.7407407407407416E-3</v>
      </c>
      <c r="E21" s="122" t="s">
        <v>422</v>
      </c>
      <c r="F21" s="122" t="b">
        <v>1</v>
      </c>
      <c r="G21" s="20"/>
      <c r="H21" s="43"/>
      <c r="I21" s="40"/>
      <c r="J21" s="35"/>
      <c r="K21" s="36" t="b">
        <v>0</v>
      </c>
      <c r="L21" s="33" t="s">
        <v>231</v>
      </c>
      <c r="M21" s="30">
        <v>42020</v>
      </c>
    </row>
    <row r="22" spans="1:13" s="18" customFormat="1" hidden="1" outlineLevel="1" x14ac:dyDescent="0.25">
      <c r="A22" s="12"/>
      <c r="B22" s="13" t="s">
        <v>32</v>
      </c>
      <c r="C22" s="12"/>
      <c r="D22" s="121"/>
      <c r="E22" s="121"/>
      <c r="F22" s="121"/>
      <c r="G22" s="13"/>
      <c r="H22" s="17"/>
      <c r="I22" s="12"/>
      <c r="J22" s="12"/>
      <c r="K22" s="12"/>
      <c r="L22" s="12"/>
      <c r="M22" s="177"/>
    </row>
    <row r="23" spans="1:13" s="18" customFormat="1" ht="15" hidden="1" customHeight="1" outlineLevel="2" x14ac:dyDescent="0.25">
      <c r="A23" s="131">
        <v>19353</v>
      </c>
      <c r="B23" s="45" t="s">
        <v>33</v>
      </c>
      <c r="C23" s="41" t="s">
        <v>3</v>
      </c>
      <c r="D23" s="122">
        <v>2.5347222222222221E-3</v>
      </c>
      <c r="E23" s="122" t="s">
        <v>422</v>
      </c>
      <c r="F23" s="122" t="b">
        <v>1</v>
      </c>
      <c r="G23" s="20"/>
      <c r="H23" s="43"/>
      <c r="I23" s="40"/>
      <c r="J23" s="35"/>
      <c r="K23" s="36" t="b">
        <v>1</v>
      </c>
      <c r="L23" s="33" t="s">
        <v>231</v>
      </c>
      <c r="M23" s="30">
        <v>42020</v>
      </c>
    </row>
    <row r="24" spans="1:13" s="18" customFormat="1" ht="15" hidden="1" customHeight="1" outlineLevel="2" x14ac:dyDescent="0.25">
      <c r="A24" s="131">
        <v>19722</v>
      </c>
      <c r="B24" s="45" t="s">
        <v>34</v>
      </c>
      <c r="C24" s="19" t="s">
        <v>3</v>
      </c>
      <c r="D24" s="122">
        <v>6.1342592592592594E-3</v>
      </c>
      <c r="E24" s="122" t="s">
        <v>422</v>
      </c>
      <c r="F24" s="122" t="b">
        <v>1</v>
      </c>
      <c r="G24" s="20"/>
      <c r="H24" s="43"/>
      <c r="I24" s="40"/>
      <c r="J24" s="35"/>
      <c r="K24" s="36" t="b">
        <v>1</v>
      </c>
      <c r="L24" s="33" t="s">
        <v>231</v>
      </c>
      <c r="M24" s="30">
        <v>42020</v>
      </c>
    </row>
    <row r="25" spans="1:13" s="18" customFormat="1" ht="15" hidden="1" customHeight="1" outlineLevel="2" x14ac:dyDescent="0.25">
      <c r="A25" s="131">
        <v>19354</v>
      </c>
      <c r="B25" s="45" t="s">
        <v>35</v>
      </c>
      <c r="C25" s="41" t="s">
        <v>3</v>
      </c>
      <c r="D25" s="122">
        <v>1.4467592592592594E-3</v>
      </c>
      <c r="E25" s="122" t="s">
        <v>422</v>
      </c>
      <c r="F25" s="122" t="b">
        <v>1</v>
      </c>
      <c r="G25" s="20"/>
      <c r="H25" s="43"/>
      <c r="I25" s="40"/>
      <c r="J25" s="35"/>
      <c r="K25" s="36" t="b">
        <v>1</v>
      </c>
      <c r="L25" s="33" t="s">
        <v>231</v>
      </c>
      <c r="M25" s="30">
        <v>42020</v>
      </c>
    </row>
    <row r="26" spans="1:13" s="18" customFormat="1" ht="15" hidden="1" customHeight="1" outlineLevel="2" x14ac:dyDescent="0.25">
      <c r="A26" s="131">
        <v>19359</v>
      </c>
      <c r="B26" s="45" t="s">
        <v>36</v>
      </c>
      <c r="C26" s="41" t="s">
        <v>3</v>
      </c>
      <c r="D26" s="122">
        <v>1.9907407407407408E-3</v>
      </c>
      <c r="E26" s="122" t="s">
        <v>422</v>
      </c>
      <c r="F26" s="122" t="b">
        <v>1</v>
      </c>
      <c r="G26" s="20"/>
      <c r="H26" s="43"/>
      <c r="I26" s="40"/>
      <c r="J26" s="35"/>
      <c r="K26" s="36" t="b">
        <v>1</v>
      </c>
      <c r="L26" s="33" t="s">
        <v>231</v>
      </c>
      <c r="M26" s="30">
        <v>42020</v>
      </c>
    </row>
    <row r="27" spans="1:13" s="18" customFormat="1" ht="15" hidden="1" customHeight="1" outlineLevel="2" x14ac:dyDescent="0.25">
      <c r="A27" s="131">
        <v>19341</v>
      </c>
      <c r="B27" s="45" t="s">
        <v>37</v>
      </c>
      <c r="C27" s="41" t="s">
        <v>3</v>
      </c>
      <c r="D27" s="122">
        <v>3.1828703703703702E-3</v>
      </c>
      <c r="E27" s="122" t="s">
        <v>422</v>
      </c>
      <c r="F27" s="122" t="b">
        <v>1</v>
      </c>
      <c r="G27" s="20"/>
      <c r="H27" s="43"/>
      <c r="I27" s="40"/>
      <c r="J27" s="35"/>
      <c r="K27" s="36" t="b">
        <v>1</v>
      </c>
      <c r="L27" s="33" t="s">
        <v>231</v>
      </c>
      <c r="M27" s="30">
        <v>42020</v>
      </c>
    </row>
    <row r="28" spans="1:13" s="18" customFormat="1" ht="15" hidden="1" customHeight="1" outlineLevel="2" x14ac:dyDescent="0.25">
      <c r="A28" s="131">
        <v>19349</v>
      </c>
      <c r="B28" s="45" t="s">
        <v>38</v>
      </c>
      <c r="C28" s="41" t="s">
        <v>3</v>
      </c>
      <c r="D28" s="122">
        <v>3.7037037037037034E-3</v>
      </c>
      <c r="E28" s="122" t="s">
        <v>422</v>
      </c>
      <c r="F28" s="122" t="b">
        <v>1</v>
      </c>
      <c r="G28" s="20"/>
      <c r="H28" s="43"/>
      <c r="I28" s="40"/>
      <c r="J28" s="35"/>
      <c r="K28" s="36" t="b">
        <v>1</v>
      </c>
      <c r="L28" s="33" t="s">
        <v>231</v>
      </c>
      <c r="M28" s="30">
        <v>42020</v>
      </c>
    </row>
    <row r="29" spans="1:13" s="18" customFormat="1" hidden="1" outlineLevel="1" x14ac:dyDescent="0.25">
      <c r="A29" s="12"/>
      <c r="B29" s="13" t="s">
        <v>39</v>
      </c>
      <c r="C29" s="12"/>
      <c r="D29" s="121"/>
      <c r="E29" s="121"/>
      <c r="F29" s="121"/>
      <c r="G29" s="13"/>
      <c r="H29" s="17"/>
      <c r="I29" s="12"/>
      <c r="J29" s="12"/>
      <c r="K29" s="12"/>
      <c r="L29" s="12"/>
      <c r="M29" s="177"/>
    </row>
    <row r="30" spans="1:13" s="18" customFormat="1" ht="25.5" hidden="1" customHeight="1" outlineLevel="2" x14ac:dyDescent="0.25">
      <c r="A30" s="131">
        <v>19361</v>
      </c>
      <c r="B30" s="44" t="s">
        <v>40</v>
      </c>
      <c r="C30" s="41" t="s">
        <v>3</v>
      </c>
      <c r="D30" s="122">
        <v>6.8275462962962954E-2</v>
      </c>
      <c r="E30" s="122" t="s">
        <v>422</v>
      </c>
      <c r="F30" s="122" t="b">
        <v>1</v>
      </c>
      <c r="G30" s="20"/>
      <c r="H30" s="43" t="s">
        <v>562</v>
      </c>
      <c r="I30" s="40"/>
      <c r="J30" s="35"/>
      <c r="K30" s="36" t="b">
        <v>1</v>
      </c>
      <c r="L30" s="33" t="s">
        <v>231</v>
      </c>
      <c r="M30" s="30">
        <v>42045.635335648149</v>
      </c>
    </row>
    <row r="31" spans="1:13" s="18" customFormat="1" ht="15" hidden="1" customHeight="1" outlineLevel="2" x14ac:dyDescent="0.25">
      <c r="A31" s="131">
        <v>19351</v>
      </c>
      <c r="B31" s="45" t="s">
        <v>41</v>
      </c>
      <c r="C31" s="41" t="s">
        <v>3</v>
      </c>
      <c r="D31" s="122">
        <v>1.2650462962962962E-2</v>
      </c>
      <c r="E31" s="122" t="s">
        <v>422</v>
      </c>
      <c r="F31" s="122" t="b">
        <v>1</v>
      </c>
      <c r="G31" s="20"/>
      <c r="H31" s="43"/>
      <c r="I31" s="40"/>
      <c r="J31" s="35"/>
      <c r="K31" s="36" t="b">
        <v>1</v>
      </c>
      <c r="L31" s="33" t="s">
        <v>231</v>
      </c>
      <c r="M31" s="30">
        <v>42020</v>
      </c>
    </row>
    <row r="32" spans="1:13" s="18" customFormat="1" ht="15" hidden="1" customHeight="1" outlineLevel="2" x14ac:dyDescent="0.25">
      <c r="A32" s="131">
        <v>19356</v>
      </c>
      <c r="B32" s="44" t="s">
        <v>42</v>
      </c>
      <c r="C32" s="41" t="s">
        <v>3</v>
      </c>
      <c r="D32" s="122">
        <v>1.2847222222222223E-3</v>
      </c>
      <c r="E32" s="122" t="s">
        <v>422</v>
      </c>
      <c r="F32" s="122" t="b">
        <v>1</v>
      </c>
      <c r="G32" s="20"/>
      <c r="H32" s="43"/>
      <c r="I32" s="40"/>
      <c r="J32" s="35"/>
      <c r="K32" s="36" t="b">
        <v>1</v>
      </c>
      <c r="L32" s="33" t="s">
        <v>231</v>
      </c>
      <c r="M32" s="30">
        <v>42020</v>
      </c>
    </row>
    <row r="33" spans="1:13" s="18" customFormat="1" ht="15" hidden="1" customHeight="1" outlineLevel="2" x14ac:dyDescent="0.25">
      <c r="A33" s="131">
        <v>21126</v>
      </c>
      <c r="B33" s="44" t="s">
        <v>43</v>
      </c>
      <c r="C33" s="19" t="s">
        <v>3</v>
      </c>
      <c r="D33" s="122">
        <v>3.2523148148148148E-2</v>
      </c>
      <c r="E33" s="122" t="s">
        <v>422</v>
      </c>
      <c r="F33" s="122" t="b">
        <v>1</v>
      </c>
      <c r="G33" s="108"/>
      <c r="H33" s="43"/>
      <c r="I33" s="40"/>
      <c r="J33" s="35"/>
      <c r="K33" s="36" t="b">
        <v>1</v>
      </c>
      <c r="L33" s="33" t="s">
        <v>231</v>
      </c>
      <c r="M33" s="30">
        <v>42020</v>
      </c>
    </row>
    <row r="34" spans="1:13" s="18" customFormat="1" ht="15" hidden="1" customHeight="1" outlineLevel="2" x14ac:dyDescent="0.25">
      <c r="A34" s="131">
        <v>19360</v>
      </c>
      <c r="B34" s="45" t="s">
        <v>44</v>
      </c>
      <c r="C34" s="41" t="s">
        <v>3</v>
      </c>
      <c r="D34" s="122">
        <v>1.8981481481481482E-3</v>
      </c>
      <c r="E34" s="122" t="s">
        <v>422</v>
      </c>
      <c r="F34" s="122" t="b">
        <v>1</v>
      </c>
      <c r="G34" s="20"/>
      <c r="H34" s="43"/>
      <c r="I34" s="40"/>
      <c r="J34" s="35"/>
      <c r="K34" s="36" t="b">
        <v>1</v>
      </c>
      <c r="L34" s="33" t="s">
        <v>231</v>
      </c>
      <c r="M34" s="30">
        <v>42020</v>
      </c>
    </row>
    <row r="35" spans="1:13" s="18" customFormat="1" hidden="1" outlineLevel="1" x14ac:dyDescent="0.25">
      <c r="A35" s="12"/>
      <c r="B35" s="13" t="s">
        <v>45</v>
      </c>
      <c r="C35" s="12"/>
      <c r="D35" s="121"/>
      <c r="E35" s="121"/>
      <c r="F35" s="121"/>
      <c r="G35" s="13"/>
      <c r="H35" s="17"/>
      <c r="I35" s="12"/>
      <c r="J35" s="12"/>
      <c r="K35" s="12"/>
      <c r="L35" s="12"/>
      <c r="M35" s="177"/>
    </row>
    <row r="36" spans="1:13" s="18" customFormat="1" ht="15" hidden="1" customHeight="1" outlineLevel="2" x14ac:dyDescent="0.25">
      <c r="A36" s="131">
        <v>19362</v>
      </c>
      <c r="B36" s="45" t="s">
        <v>46</v>
      </c>
      <c r="C36" s="41" t="s">
        <v>3</v>
      </c>
      <c r="D36" s="122">
        <v>1.2499999999999999E-2</v>
      </c>
      <c r="E36" s="122" t="s">
        <v>422</v>
      </c>
      <c r="F36" s="122" t="b">
        <v>1</v>
      </c>
      <c r="G36" s="20"/>
      <c r="H36" s="43"/>
      <c r="I36" s="40"/>
      <c r="J36" s="35"/>
      <c r="K36" s="36" t="b">
        <v>1</v>
      </c>
      <c r="L36" s="33" t="s">
        <v>231</v>
      </c>
      <c r="M36" s="30">
        <v>42020</v>
      </c>
    </row>
    <row r="37" spans="1:13" s="27" customFormat="1" ht="15" hidden="1" customHeight="1" outlineLevel="2" x14ac:dyDescent="0.2">
      <c r="A37" s="133">
        <v>19558</v>
      </c>
      <c r="B37" s="52" t="s">
        <v>47</v>
      </c>
      <c r="C37" s="19" t="s">
        <v>3</v>
      </c>
      <c r="D37" s="122">
        <v>1.3888888888888888E-2</v>
      </c>
      <c r="E37" s="122" t="s">
        <v>422</v>
      </c>
      <c r="F37" s="122" t="b">
        <v>1</v>
      </c>
      <c r="G37" s="52"/>
      <c r="H37" s="46"/>
      <c r="I37" s="26"/>
      <c r="J37" s="35"/>
      <c r="K37" s="36" t="b">
        <v>1</v>
      </c>
      <c r="L37" s="33" t="s">
        <v>231</v>
      </c>
      <c r="M37" s="30">
        <v>42020</v>
      </c>
    </row>
    <row r="38" spans="1:13" s="18" customFormat="1" ht="63.75" hidden="1" customHeight="1" outlineLevel="2" x14ac:dyDescent="0.25">
      <c r="A38" s="131">
        <v>19343</v>
      </c>
      <c r="B38" s="45" t="s">
        <v>48</v>
      </c>
      <c r="C38" s="41" t="s">
        <v>3</v>
      </c>
      <c r="D38" s="122">
        <v>0.1875</v>
      </c>
      <c r="E38" s="122" t="s">
        <v>422</v>
      </c>
      <c r="F38" s="122" t="b">
        <v>1</v>
      </c>
      <c r="G38" s="20"/>
      <c r="H38" s="28" t="s">
        <v>504</v>
      </c>
      <c r="I38" s="40"/>
      <c r="J38" s="35"/>
      <c r="K38" s="36" t="b">
        <v>0</v>
      </c>
      <c r="L38" s="33" t="s">
        <v>231</v>
      </c>
      <c r="M38" s="30">
        <v>42020</v>
      </c>
    </row>
    <row r="39" spans="1:13" s="18" customFormat="1" hidden="1" outlineLevel="1" x14ac:dyDescent="0.25">
      <c r="A39" s="12"/>
      <c r="B39" s="13" t="s">
        <v>49</v>
      </c>
      <c r="C39" s="12"/>
      <c r="D39" s="121"/>
      <c r="E39" s="121"/>
      <c r="F39" s="121"/>
      <c r="G39" s="13"/>
      <c r="H39" s="17"/>
      <c r="I39" s="12"/>
      <c r="J39" s="12"/>
      <c r="K39" s="12"/>
      <c r="L39" s="12"/>
      <c r="M39" s="177"/>
    </row>
    <row r="40" spans="1:13" s="29" customFormat="1" ht="76.5" hidden="1" customHeight="1" outlineLevel="2" x14ac:dyDescent="0.25">
      <c r="A40" s="131">
        <v>19348</v>
      </c>
      <c r="B40" s="28" t="s">
        <v>50</v>
      </c>
      <c r="C40" s="41" t="s">
        <v>3</v>
      </c>
      <c r="D40" s="122">
        <v>2.7141203703703706E-2</v>
      </c>
      <c r="E40" s="122" t="s">
        <v>422</v>
      </c>
      <c r="F40" s="122" t="b">
        <v>1</v>
      </c>
      <c r="G40" s="20"/>
      <c r="H40" s="140" t="s">
        <v>473</v>
      </c>
      <c r="I40" s="47"/>
      <c r="J40" s="35"/>
      <c r="K40" s="36" t="b">
        <v>1</v>
      </c>
      <c r="L40" s="33" t="s">
        <v>231</v>
      </c>
      <c r="M40" s="30">
        <v>42020</v>
      </c>
    </row>
    <row r="41" spans="1:13" s="18" customFormat="1" ht="127.5" hidden="1" customHeight="1" outlineLevel="2" x14ac:dyDescent="0.25">
      <c r="A41" s="133">
        <v>20181</v>
      </c>
      <c r="B41" s="48" t="s">
        <v>52</v>
      </c>
      <c r="C41" s="41" t="s">
        <v>3</v>
      </c>
      <c r="D41" s="122">
        <v>4.1666666666666664E-2</v>
      </c>
      <c r="E41" s="122" t="s">
        <v>422</v>
      </c>
      <c r="F41" s="122" t="b">
        <v>1</v>
      </c>
      <c r="G41" s="20"/>
      <c r="H41" s="151" t="s">
        <v>474</v>
      </c>
      <c r="I41" s="40"/>
      <c r="J41" s="35"/>
      <c r="K41" s="36" t="b">
        <v>1</v>
      </c>
      <c r="L41" s="33" t="s">
        <v>231</v>
      </c>
      <c r="M41" s="30">
        <v>42020</v>
      </c>
    </row>
    <row r="42" spans="1:13" s="18" customFormat="1" ht="25.5" hidden="1" customHeight="1" outlineLevel="2" x14ac:dyDescent="0.25">
      <c r="A42" s="133">
        <v>20182</v>
      </c>
      <c r="B42" s="48" t="s">
        <v>53</v>
      </c>
      <c r="C42" s="30" t="s">
        <v>3</v>
      </c>
      <c r="D42" s="122">
        <v>3.472222222222222E-3</v>
      </c>
      <c r="E42" s="122" t="s">
        <v>422</v>
      </c>
      <c r="F42" s="122" t="b">
        <v>1</v>
      </c>
      <c r="G42" s="108"/>
      <c r="H42" s="49"/>
      <c r="I42" s="40"/>
      <c r="J42" s="35"/>
      <c r="K42" s="36" t="b">
        <v>1</v>
      </c>
      <c r="L42" s="33" t="s">
        <v>231</v>
      </c>
      <c r="M42" s="30">
        <v>42020</v>
      </c>
    </row>
    <row r="43" spans="1:13" s="18" customFormat="1" ht="89.25" hidden="1" customHeight="1" outlineLevel="2" x14ac:dyDescent="0.2">
      <c r="A43" s="133">
        <v>28806</v>
      </c>
      <c r="B43" s="49" t="s">
        <v>54</v>
      </c>
      <c r="C43" s="41" t="s">
        <v>3</v>
      </c>
      <c r="D43" s="122">
        <v>0.12506944444444443</v>
      </c>
      <c r="E43" s="122" t="s">
        <v>422</v>
      </c>
      <c r="F43" s="122" t="b">
        <v>0</v>
      </c>
      <c r="G43" s="20"/>
      <c r="H43" s="152" t="s">
        <v>475</v>
      </c>
      <c r="I43" s="40"/>
      <c r="J43" s="35"/>
      <c r="K43" s="36" t="b">
        <v>1</v>
      </c>
      <c r="L43" s="33" t="s">
        <v>231</v>
      </c>
      <c r="M43" s="30">
        <v>42020</v>
      </c>
    </row>
    <row r="44" spans="1:13" s="29" customFormat="1" ht="38.25" hidden="1" customHeight="1" outlineLevel="2" x14ac:dyDescent="0.25">
      <c r="A44" s="133">
        <v>19342</v>
      </c>
      <c r="B44" s="49" t="s">
        <v>55</v>
      </c>
      <c r="C44" s="41" t="s">
        <v>3</v>
      </c>
      <c r="D44" s="122">
        <v>0.10416666666666667</v>
      </c>
      <c r="E44" s="122" t="s">
        <v>422</v>
      </c>
      <c r="F44" s="122" t="b">
        <v>1</v>
      </c>
      <c r="G44" s="20"/>
      <c r="H44" s="134" t="s">
        <v>476</v>
      </c>
      <c r="I44" s="47"/>
      <c r="J44" s="35"/>
      <c r="K44" s="36" t="b">
        <v>1</v>
      </c>
      <c r="L44" s="33" t="s">
        <v>231</v>
      </c>
      <c r="M44" s="30">
        <v>42020</v>
      </c>
    </row>
    <row r="45" spans="1:13" s="29" customFormat="1" ht="15" hidden="1" customHeight="1" outlineLevel="2" x14ac:dyDescent="0.25">
      <c r="A45" s="131">
        <v>19350</v>
      </c>
      <c r="B45" s="49" t="s">
        <v>56</v>
      </c>
      <c r="C45" s="41" t="s">
        <v>3</v>
      </c>
      <c r="D45" s="122">
        <v>2.0833333333333332E-2</v>
      </c>
      <c r="E45" s="122" t="s">
        <v>422</v>
      </c>
      <c r="F45" s="122" t="b">
        <v>1</v>
      </c>
      <c r="G45" s="20"/>
      <c r="H45" s="43"/>
      <c r="I45" s="47"/>
      <c r="J45" s="35"/>
      <c r="K45" s="36" t="b">
        <v>1</v>
      </c>
      <c r="L45" s="33" t="s">
        <v>231</v>
      </c>
      <c r="M45" s="30">
        <v>42020</v>
      </c>
    </row>
    <row r="46" spans="1:13" s="18" customFormat="1" hidden="1" outlineLevel="1" x14ac:dyDescent="0.25">
      <c r="A46" s="12"/>
      <c r="B46" s="13" t="s">
        <v>57</v>
      </c>
      <c r="C46" s="12"/>
      <c r="D46" s="121"/>
      <c r="E46" s="121"/>
      <c r="F46" s="121"/>
      <c r="G46" s="13"/>
      <c r="H46" s="17"/>
      <c r="I46" s="12"/>
      <c r="J46" s="12"/>
      <c r="K46" s="12"/>
      <c r="L46" s="12"/>
      <c r="M46" s="177"/>
    </row>
    <row r="47" spans="1:13" s="29" customFormat="1" ht="15" hidden="1" customHeight="1" outlineLevel="2" x14ac:dyDescent="0.25">
      <c r="A47" s="131">
        <v>19357</v>
      </c>
      <c r="B47" s="28" t="s">
        <v>58</v>
      </c>
      <c r="C47" s="41" t="s">
        <v>3</v>
      </c>
      <c r="D47" s="122">
        <v>6.9444444444444441E-3</v>
      </c>
      <c r="E47" s="122" t="s">
        <v>422</v>
      </c>
      <c r="F47" s="122" t="b">
        <v>1</v>
      </c>
      <c r="G47" s="20"/>
      <c r="H47" s="43"/>
      <c r="I47" s="47"/>
      <c r="J47" s="35"/>
      <c r="K47" s="36" t="b">
        <v>1</v>
      </c>
      <c r="L47" s="33" t="s">
        <v>232</v>
      </c>
      <c r="M47" s="30">
        <v>42020</v>
      </c>
    </row>
    <row r="48" spans="1:13" s="29" customFormat="1" ht="38.25" hidden="1" customHeight="1" outlineLevel="2" x14ac:dyDescent="0.25">
      <c r="A48" s="131">
        <v>19366</v>
      </c>
      <c r="B48" s="49" t="s">
        <v>59</v>
      </c>
      <c r="C48" s="41" t="s">
        <v>3</v>
      </c>
      <c r="D48" s="122">
        <v>6.9444444444444441E-3</v>
      </c>
      <c r="E48" s="122" t="s">
        <v>422</v>
      </c>
      <c r="F48" s="122" t="b">
        <v>1</v>
      </c>
      <c r="G48" s="20"/>
      <c r="H48" s="43" t="s">
        <v>60</v>
      </c>
      <c r="I48" s="47"/>
      <c r="J48" s="35"/>
      <c r="K48" s="36" t="b">
        <v>1</v>
      </c>
      <c r="L48" s="33" t="s">
        <v>232</v>
      </c>
      <c r="M48" s="30">
        <v>42020</v>
      </c>
    </row>
    <row r="49" spans="1:13" s="29" customFormat="1" ht="114.75" hidden="1" customHeight="1" outlineLevel="2" x14ac:dyDescent="0.25">
      <c r="A49" s="131">
        <v>19344</v>
      </c>
      <c r="B49" s="49" t="s">
        <v>61</v>
      </c>
      <c r="C49" s="41" t="s">
        <v>3</v>
      </c>
      <c r="D49" s="122">
        <v>0.10416666666666667</v>
      </c>
      <c r="E49" s="122" t="s">
        <v>422</v>
      </c>
      <c r="F49" s="122" t="b">
        <v>1</v>
      </c>
      <c r="G49" s="20"/>
      <c r="H49" s="31" t="s">
        <v>505</v>
      </c>
      <c r="I49" s="47"/>
      <c r="J49" s="35"/>
      <c r="K49" s="36" t="b">
        <v>1</v>
      </c>
      <c r="L49" s="33" t="s">
        <v>232</v>
      </c>
      <c r="M49" s="30">
        <v>42020</v>
      </c>
    </row>
    <row r="50" spans="1:13" s="29" customFormat="1" ht="15" hidden="1" customHeight="1" outlineLevel="2" x14ac:dyDescent="0.25">
      <c r="A50" s="131">
        <v>20328</v>
      </c>
      <c r="B50" s="49" t="s">
        <v>62</v>
      </c>
      <c r="C50" s="41" t="s">
        <v>3</v>
      </c>
      <c r="D50" s="122">
        <v>3.3819444444444451E-2</v>
      </c>
      <c r="E50" s="122" t="s">
        <v>422</v>
      </c>
      <c r="F50" s="122" t="b">
        <v>1</v>
      </c>
      <c r="G50" s="20"/>
      <c r="H50" s="31"/>
      <c r="I50" s="47"/>
      <c r="J50" s="35"/>
      <c r="K50" s="36" t="b">
        <v>1</v>
      </c>
      <c r="L50" s="33" t="s">
        <v>232</v>
      </c>
      <c r="M50" s="30">
        <v>42020</v>
      </c>
    </row>
    <row r="51" spans="1:13" s="18" customFormat="1" hidden="1" outlineLevel="1" x14ac:dyDescent="0.25">
      <c r="A51" s="12"/>
      <c r="B51" s="13" t="s">
        <v>63</v>
      </c>
      <c r="C51" s="12"/>
      <c r="D51" s="121"/>
      <c r="E51" s="121"/>
      <c r="F51" s="121"/>
      <c r="G51" s="13"/>
      <c r="H51" s="17"/>
      <c r="I51" s="12"/>
      <c r="J51" s="12"/>
      <c r="K51" s="12"/>
      <c r="L51" s="12"/>
      <c r="M51" s="177"/>
    </row>
    <row r="52" spans="1:13" s="29" customFormat="1" ht="51" hidden="1" customHeight="1" outlineLevel="2" x14ac:dyDescent="0.25">
      <c r="A52" s="131">
        <v>27019</v>
      </c>
      <c r="B52" s="49" t="s">
        <v>64</v>
      </c>
      <c r="C52" s="41" t="s">
        <v>3</v>
      </c>
      <c r="D52" s="122">
        <v>2.0833333333333332E-2</v>
      </c>
      <c r="E52" s="122" t="s">
        <v>422</v>
      </c>
      <c r="F52" s="122" t="b">
        <v>0</v>
      </c>
      <c r="G52" s="20"/>
      <c r="H52" s="153" t="s">
        <v>477</v>
      </c>
      <c r="I52" s="47"/>
      <c r="J52" s="35"/>
      <c r="K52" s="36" t="b">
        <v>1</v>
      </c>
      <c r="L52" s="33" t="s">
        <v>232</v>
      </c>
      <c r="M52" s="30">
        <v>42020</v>
      </c>
    </row>
    <row r="53" spans="1:13" s="29" customFormat="1" ht="25.5" hidden="1" customHeight="1" outlineLevel="2" x14ac:dyDescent="0.25">
      <c r="A53" s="131">
        <v>29490</v>
      </c>
      <c r="B53" s="49" t="s">
        <v>65</v>
      </c>
      <c r="C53" s="41" t="s">
        <v>3</v>
      </c>
      <c r="D53" s="122">
        <v>5.9027777777777783E-2</v>
      </c>
      <c r="E53" s="122" t="s">
        <v>422</v>
      </c>
      <c r="F53" s="122" t="b">
        <v>0</v>
      </c>
      <c r="G53" s="20"/>
      <c r="H53" s="31"/>
      <c r="I53" s="47"/>
      <c r="J53" s="35"/>
      <c r="K53" s="36" t="b">
        <v>1</v>
      </c>
      <c r="L53" s="33" t="s">
        <v>232</v>
      </c>
      <c r="M53" s="30">
        <v>42020</v>
      </c>
    </row>
    <row r="54" spans="1:13" s="29" customFormat="1" ht="15" hidden="1" customHeight="1" outlineLevel="2" x14ac:dyDescent="0.25">
      <c r="A54" s="131">
        <v>20221</v>
      </c>
      <c r="B54" s="49" t="s">
        <v>66</v>
      </c>
      <c r="C54" s="41" t="s">
        <v>3</v>
      </c>
      <c r="D54" s="122">
        <v>5.9027777777777776E-3</v>
      </c>
      <c r="E54" s="122" t="s">
        <v>422</v>
      </c>
      <c r="F54" s="122" t="b">
        <v>0</v>
      </c>
      <c r="G54" s="123"/>
      <c r="H54" s="31"/>
      <c r="I54" s="47"/>
      <c r="J54" s="35"/>
      <c r="K54" s="36" t="b">
        <v>1</v>
      </c>
      <c r="L54" s="33" t="s">
        <v>232</v>
      </c>
      <c r="M54" s="30">
        <v>42020</v>
      </c>
    </row>
    <row r="55" spans="1:13" s="29" customFormat="1" ht="15" hidden="1" customHeight="1" outlineLevel="2" x14ac:dyDescent="0.25">
      <c r="A55" s="131">
        <v>20333</v>
      </c>
      <c r="B55" s="49" t="s">
        <v>67</v>
      </c>
      <c r="C55" s="41" t="s">
        <v>3</v>
      </c>
      <c r="D55" s="122">
        <v>4.2615740740740739E-2</v>
      </c>
      <c r="E55" s="122" t="s">
        <v>422</v>
      </c>
      <c r="F55" s="122" t="b">
        <v>1</v>
      </c>
      <c r="G55" s="20"/>
      <c r="H55" s="31"/>
      <c r="I55" s="47"/>
      <c r="J55" s="35"/>
      <c r="K55" s="36" t="b">
        <v>1</v>
      </c>
      <c r="L55" s="33" t="s">
        <v>232</v>
      </c>
      <c r="M55" s="30">
        <v>42020</v>
      </c>
    </row>
    <row r="56" spans="1:13" s="29" customFormat="1" ht="25.5" hidden="1" customHeight="1" outlineLevel="2" x14ac:dyDescent="0.25">
      <c r="A56" s="131">
        <v>21179</v>
      </c>
      <c r="B56" s="49" t="s">
        <v>515</v>
      </c>
      <c r="C56" s="41" t="s">
        <v>3</v>
      </c>
      <c r="D56" s="122">
        <v>0.125</v>
      </c>
      <c r="E56" s="122" t="s">
        <v>422</v>
      </c>
      <c r="F56" s="122" t="b">
        <v>0</v>
      </c>
      <c r="G56" s="20"/>
      <c r="H56" s="31"/>
      <c r="I56" s="47"/>
      <c r="J56" s="35"/>
      <c r="K56" s="36" t="b">
        <v>0</v>
      </c>
      <c r="L56" s="33" t="s">
        <v>232</v>
      </c>
      <c r="M56" s="30">
        <v>42020</v>
      </c>
    </row>
    <row r="57" spans="1:13" s="18" customFormat="1" hidden="1" outlineLevel="1" x14ac:dyDescent="0.25">
      <c r="A57" s="12"/>
      <c r="B57" s="13" t="s">
        <v>68</v>
      </c>
      <c r="C57" s="12"/>
      <c r="D57" s="121" t="e">
        <f>SumTestCase(Table_1[Run Time],Testcase_Color,Workflow_Color)</f>
        <v>#VALUE!</v>
      </c>
      <c r="E57" s="121"/>
      <c r="F57" s="121"/>
      <c r="G57" s="13"/>
      <c r="H57" s="17"/>
      <c r="I57" s="12"/>
      <c r="J57" s="12"/>
      <c r="K57" s="12"/>
      <c r="L57" s="12"/>
      <c r="M57" s="177"/>
    </row>
    <row r="58" spans="1:13" s="29" customFormat="1" ht="25.5" hidden="1" customHeight="1" outlineLevel="2" x14ac:dyDescent="0.25">
      <c r="A58" s="131">
        <v>20324</v>
      </c>
      <c r="B58" s="28" t="s">
        <v>69</v>
      </c>
      <c r="C58" s="41" t="s">
        <v>3</v>
      </c>
      <c r="D58" s="122">
        <v>4.1666666666666666E-3</v>
      </c>
      <c r="E58" s="122" t="s">
        <v>422</v>
      </c>
      <c r="F58" s="122" t="b">
        <v>1</v>
      </c>
      <c r="G58" s="20"/>
      <c r="H58" s="43"/>
      <c r="I58" s="47"/>
      <c r="J58" s="35"/>
      <c r="K58" s="36" t="b">
        <v>1</v>
      </c>
      <c r="L58" s="33" t="s">
        <v>232</v>
      </c>
      <c r="M58" s="30">
        <v>42020</v>
      </c>
    </row>
    <row r="59" spans="1:13" s="29" customFormat="1" ht="89.25" hidden="1" customHeight="1" outlineLevel="2" x14ac:dyDescent="0.25">
      <c r="A59" s="131">
        <v>20325</v>
      </c>
      <c r="B59" s="49" t="s">
        <v>70</v>
      </c>
      <c r="C59" s="41" t="s">
        <v>3</v>
      </c>
      <c r="D59" s="122">
        <v>0.22916666666666666</v>
      </c>
      <c r="E59" s="122" t="s">
        <v>422</v>
      </c>
      <c r="F59" s="122" t="b">
        <v>0</v>
      </c>
      <c r="G59" s="20"/>
      <c r="H59" s="134" t="s">
        <v>479</v>
      </c>
      <c r="I59" s="47"/>
      <c r="J59" s="35"/>
      <c r="K59" s="36" t="b">
        <v>1</v>
      </c>
      <c r="L59" s="33" t="s">
        <v>232</v>
      </c>
      <c r="M59" s="30">
        <v>42020</v>
      </c>
    </row>
    <row r="60" spans="1:13" s="29" customFormat="1" ht="51" hidden="1" customHeight="1" outlineLevel="2" x14ac:dyDescent="0.25">
      <c r="A60" s="131">
        <v>20326</v>
      </c>
      <c r="B60" s="49" t="s">
        <v>71</v>
      </c>
      <c r="C60" s="41" t="s">
        <v>3</v>
      </c>
      <c r="D60" s="122">
        <v>0.1388888888888889</v>
      </c>
      <c r="E60" s="122" t="s">
        <v>422</v>
      </c>
      <c r="F60" s="122" t="b">
        <v>0</v>
      </c>
      <c r="G60" s="20"/>
      <c r="H60" s="134" t="s">
        <v>480</v>
      </c>
      <c r="I60" s="47"/>
      <c r="J60" s="35"/>
      <c r="K60" s="36" t="b">
        <v>1</v>
      </c>
      <c r="L60" s="33" t="s">
        <v>232</v>
      </c>
      <c r="M60" s="30">
        <v>42020</v>
      </c>
    </row>
    <row r="61" spans="1:13" s="29" customFormat="1" ht="51.75" hidden="1" customHeight="1" outlineLevel="2" x14ac:dyDescent="0.25">
      <c r="A61" s="131">
        <v>20327</v>
      </c>
      <c r="B61" s="49" t="s">
        <v>72</v>
      </c>
      <c r="C61" s="41" t="s">
        <v>3</v>
      </c>
      <c r="D61" s="122">
        <v>0.11805555555555557</v>
      </c>
      <c r="E61" s="122" t="s">
        <v>422</v>
      </c>
      <c r="F61" s="122" t="b">
        <v>0</v>
      </c>
      <c r="G61" s="20"/>
      <c r="H61" s="142" t="s">
        <v>480</v>
      </c>
      <c r="I61" s="47"/>
      <c r="J61" s="35"/>
      <c r="K61" s="36" t="b">
        <v>1</v>
      </c>
      <c r="L61" s="33" t="s">
        <v>232</v>
      </c>
      <c r="M61" s="30">
        <v>42020</v>
      </c>
    </row>
    <row r="62" spans="1:13" s="32" customFormat="1" ht="15" hidden="1" customHeight="1" outlineLevel="2" x14ac:dyDescent="0.2">
      <c r="A62" s="131">
        <v>21169</v>
      </c>
      <c r="B62" s="49" t="s">
        <v>73</v>
      </c>
      <c r="C62" s="41" t="s">
        <v>3</v>
      </c>
      <c r="D62" s="122">
        <v>0.125</v>
      </c>
      <c r="E62" s="122" t="s">
        <v>422</v>
      </c>
      <c r="F62" s="122" t="b">
        <v>0</v>
      </c>
      <c r="G62" s="20"/>
      <c r="H62" s="108"/>
      <c r="I62" s="39"/>
      <c r="J62" s="35"/>
      <c r="K62" s="36" t="b">
        <v>1</v>
      </c>
      <c r="L62" s="33" t="s">
        <v>232</v>
      </c>
      <c r="M62" s="30">
        <v>42020</v>
      </c>
    </row>
    <row r="63" spans="1:13" s="18" customFormat="1" hidden="1" outlineLevel="1" x14ac:dyDescent="0.25">
      <c r="A63" s="12"/>
      <c r="B63" s="13" t="s">
        <v>74</v>
      </c>
      <c r="C63" s="12"/>
      <c r="D63" s="121"/>
      <c r="E63" s="121"/>
      <c r="F63" s="121"/>
      <c r="G63" s="13"/>
      <c r="H63" s="17"/>
      <c r="I63" s="12"/>
      <c r="J63" s="12"/>
      <c r="K63" s="12"/>
      <c r="L63" s="12"/>
      <c r="M63" s="177"/>
    </row>
    <row r="64" spans="1:13" s="29" customFormat="1" ht="15" hidden="1" customHeight="1" outlineLevel="2" x14ac:dyDescent="0.25">
      <c r="A64" s="131">
        <v>19390</v>
      </c>
      <c r="B64" s="28" t="s">
        <v>75</v>
      </c>
      <c r="C64" s="41" t="s">
        <v>3</v>
      </c>
      <c r="D64" s="122">
        <v>4.5150462962962962E-2</v>
      </c>
      <c r="E64" s="122" t="s">
        <v>422</v>
      </c>
      <c r="F64" s="122" t="b">
        <v>0</v>
      </c>
      <c r="G64" s="20"/>
      <c r="H64" s="43"/>
      <c r="I64" s="47"/>
      <c r="J64" s="35"/>
      <c r="K64" s="36" t="b">
        <v>1</v>
      </c>
      <c r="L64" s="33" t="s">
        <v>232</v>
      </c>
      <c r="M64" s="30">
        <v>42020</v>
      </c>
    </row>
    <row r="65" spans="1:13" s="29" customFormat="1" ht="15" hidden="1" customHeight="1" outlineLevel="2" x14ac:dyDescent="0.25">
      <c r="A65" s="131">
        <v>19493</v>
      </c>
      <c r="B65" s="28" t="s">
        <v>76</v>
      </c>
      <c r="C65" s="41" t="s">
        <v>3</v>
      </c>
      <c r="D65" s="122">
        <v>6.2731481481481484E-3</v>
      </c>
      <c r="E65" s="122" t="s">
        <v>422</v>
      </c>
      <c r="F65" s="122" t="b">
        <v>0</v>
      </c>
      <c r="G65" s="20"/>
      <c r="H65" s="43"/>
      <c r="I65" s="47"/>
      <c r="J65" s="35"/>
      <c r="K65" s="36" t="b">
        <v>1</v>
      </c>
      <c r="L65" s="33" t="s">
        <v>232</v>
      </c>
      <c r="M65" s="30">
        <v>42020</v>
      </c>
    </row>
    <row r="66" spans="1:13" s="29" customFormat="1" ht="39" hidden="1" customHeight="1" outlineLevel="2" x14ac:dyDescent="0.25">
      <c r="A66" s="131">
        <v>20268</v>
      </c>
      <c r="B66" s="28" t="s">
        <v>77</v>
      </c>
      <c r="C66" s="41" t="s">
        <v>3</v>
      </c>
      <c r="D66" s="122">
        <v>2.8472222222222222E-2</v>
      </c>
      <c r="E66" s="122" t="s">
        <v>422</v>
      </c>
      <c r="F66" s="122" t="b">
        <v>0</v>
      </c>
      <c r="G66" s="20"/>
      <c r="H66" s="154" t="s">
        <v>478</v>
      </c>
      <c r="I66" s="47"/>
      <c r="J66" s="35"/>
      <c r="K66" s="178" t="b">
        <v>0</v>
      </c>
      <c r="L66" s="33" t="s">
        <v>232</v>
      </c>
      <c r="M66" s="30">
        <v>42020</v>
      </c>
    </row>
    <row r="67" spans="1:13" s="29" customFormat="1" ht="39" hidden="1" customHeight="1" outlineLevel="2" x14ac:dyDescent="0.25">
      <c r="A67" s="131">
        <v>20267</v>
      </c>
      <c r="B67" s="28" t="s">
        <v>78</v>
      </c>
      <c r="C67" s="41" t="s">
        <v>8</v>
      </c>
      <c r="D67" s="122">
        <v>1.1331018518518518E-2</v>
      </c>
      <c r="E67" s="122" t="s">
        <v>422</v>
      </c>
      <c r="F67" s="122" t="b">
        <v>0</v>
      </c>
      <c r="G67" s="20"/>
      <c r="H67" s="154" t="s">
        <v>481</v>
      </c>
      <c r="I67" s="47"/>
      <c r="J67" s="35"/>
      <c r="K67" s="178" t="b">
        <v>0</v>
      </c>
      <c r="L67" s="33" t="s">
        <v>232</v>
      </c>
      <c r="M67" s="30">
        <v>42096.56753472222</v>
      </c>
    </row>
    <row r="68" spans="1:13" s="29" customFormat="1" ht="15" hidden="1" customHeight="1" outlineLevel="2" x14ac:dyDescent="0.25">
      <c r="A68" s="131">
        <v>20272</v>
      </c>
      <c r="B68" s="28" t="s">
        <v>79</v>
      </c>
      <c r="C68" s="41" t="s">
        <v>3</v>
      </c>
      <c r="D68" s="122">
        <v>3.6342592592592594E-3</v>
      </c>
      <c r="E68" s="122" t="s">
        <v>422</v>
      </c>
      <c r="F68" s="122" t="b">
        <v>0</v>
      </c>
      <c r="G68" s="20"/>
      <c r="H68" s="43"/>
      <c r="I68" s="47"/>
      <c r="J68" s="35"/>
      <c r="K68" s="36" t="b">
        <v>1</v>
      </c>
      <c r="L68" s="33" t="s">
        <v>232</v>
      </c>
      <c r="M68" s="30">
        <v>42020</v>
      </c>
    </row>
    <row r="69" spans="1:13" s="29" customFormat="1" ht="140.25" hidden="1" customHeight="1" outlineLevel="2" x14ac:dyDescent="0.25">
      <c r="A69" s="131">
        <v>21178</v>
      </c>
      <c r="B69" s="28" t="s">
        <v>80</v>
      </c>
      <c r="C69" s="41" t="s">
        <v>3</v>
      </c>
      <c r="D69" s="122">
        <v>0.30902777777777779</v>
      </c>
      <c r="E69" s="122" t="s">
        <v>422</v>
      </c>
      <c r="F69" s="122" t="b">
        <v>0</v>
      </c>
      <c r="G69" s="20"/>
      <c r="H69" s="155" t="s">
        <v>482</v>
      </c>
      <c r="I69" s="47"/>
      <c r="J69" s="35"/>
      <c r="K69" s="36" t="b">
        <v>1</v>
      </c>
      <c r="L69" s="33" t="s">
        <v>232</v>
      </c>
      <c r="M69" s="30">
        <v>42020</v>
      </c>
    </row>
    <row r="70" spans="1:13" s="18" customFormat="1" hidden="1" outlineLevel="1" x14ac:dyDescent="0.25">
      <c r="A70" s="12"/>
      <c r="B70" s="13" t="s">
        <v>572</v>
      </c>
      <c r="C70" s="12"/>
      <c r="D70" s="121"/>
      <c r="E70" s="121"/>
      <c r="F70" s="121"/>
      <c r="G70" s="13"/>
      <c r="H70" s="17"/>
      <c r="I70" s="12"/>
      <c r="J70" s="12"/>
      <c r="K70" s="12"/>
      <c r="L70" s="12"/>
      <c r="M70" s="177">
        <v>42027.500092592592</v>
      </c>
    </row>
    <row r="71" spans="1:13" s="29" customFormat="1" ht="15" hidden="1" customHeight="1" outlineLevel="2" x14ac:dyDescent="0.25">
      <c r="A71" s="131">
        <v>19547</v>
      </c>
      <c r="B71" s="28" t="s">
        <v>81</v>
      </c>
      <c r="C71" s="41" t="s">
        <v>3</v>
      </c>
      <c r="D71" s="122">
        <v>4.9884259259259265E-3</v>
      </c>
      <c r="E71" s="122" t="s">
        <v>423</v>
      </c>
      <c r="F71" s="122" t="b">
        <v>1</v>
      </c>
      <c r="G71" s="20"/>
      <c r="H71" s="43"/>
      <c r="I71" s="47"/>
      <c r="J71" s="35"/>
      <c r="K71" s="36" t="b">
        <v>1</v>
      </c>
      <c r="L71" s="33" t="s">
        <v>231</v>
      </c>
      <c r="M71" s="30">
        <v>42027.500092592592</v>
      </c>
    </row>
    <row r="72" spans="1:13" s="29" customFormat="1" ht="15" hidden="1" customHeight="1" outlineLevel="2" x14ac:dyDescent="0.25">
      <c r="A72" s="131">
        <v>19548</v>
      </c>
      <c r="B72" s="28" t="s">
        <v>82</v>
      </c>
      <c r="C72" s="41" t="s">
        <v>3</v>
      </c>
      <c r="D72" s="122">
        <v>4.8611111111111112E-3</v>
      </c>
      <c r="E72" s="122" t="s">
        <v>423</v>
      </c>
      <c r="F72" s="122" t="b">
        <v>1</v>
      </c>
      <c r="G72" s="20"/>
      <c r="H72" s="43"/>
      <c r="I72" s="47"/>
      <c r="J72" s="35"/>
      <c r="K72" s="36" t="b">
        <v>1</v>
      </c>
      <c r="L72" s="33" t="s">
        <v>231</v>
      </c>
      <c r="M72" s="30">
        <v>42027.500092592592</v>
      </c>
    </row>
    <row r="73" spans="1:13" s="29" customFormat="1" ht="15" hidden="1" customHeight="1" outlineLevel="2" x14ac:dyDescent="0.25">
      <c r="A73" s="131">
        <v>19549</v>
      </c>
      <c r="B73" s="28" t="s">
        <v>83</v>
      </c>
      <c r="C73" s="41" t="s">
        <v>3</v>
      </c>
      <c r="D73" s="122">
        <v>3.472222222222222E-3</v>
      </c>
      <c r="E73" s="122" t="s">
        <v>423</v>
      </c>
      <c r="F73" s="122" t="b">
        <v>1</v>
      </c>
      <c r="G73" s="20"/>
      <c r="H73" s="43"/>
      <c r="I73" s="47"/>
      <c r="J73" s="35"/>
      <c r="K73" s="36" t="b">
        <v>1</v>
      </c>
      <c r="L73" s="33" t="s">
        <v>231</v>
      </c>
      <c r="M73" s="30">
        <v>42027.500092592592</v>
      </c>
    </row>
    <row r="74" spans="1:13" s="29" customFormat="1" ht="15" hidden="1" customHeight="1" outlineLevel="2" x14ac:dyDescent="0.25">
      <c r="A74" s="131">
        <v>19550</v>
      </c>
      <c r="B74" s="28" t="s">
        <v>84</v>
      </c>
      <c r="C74" s="41" t="s">
        <v>3</v>
      </c>
      <c r="D74" s="122">
        <v>1.3888888888888889E-3</v>
      </c>
      <c r="E74" s="122" t="s">
        <v>423</v>
      </c>
      <c r="F74" s="122" t="b">
        <v>1</v>
      </c>
      <c r="G74" s="20"/>
      <c r="H74" s="43"/>
      <c r="I74" s="47"/>
      <c r="J74" s="35"/>
      <c r="K74" s="36" t="b">
        <v>1</v>
      </c>
      <c r="L74" s="33" t="s">
        <v>231</v>
      </c>
      <c r="M74" s="30">
        <v>42027.500092592592</v>
      </c>
    </row>
    <row r="75" spans="1:13" s="29" customFormat="1" ht="15" hidden="1" customHeight="1" outlineLevel="2" x14ac:dyDescent="0.25">
      <c r="A75" s="131">
        <v>19551</v>
      </c>
      <c r="B75" s="28" t="s">
        <v>85</v>
      </c>
      <c r="C75" s="41" t="s">
        <v>3</v>
      </c>
      <c r="D75" s="122">
        <v>2.4305555555555556E-3</v>
      </c>
      <c r="E75" s="122" t="s">
        <v>423</v>
      </c>
      <c r="F75" s="122" t="b">
        <v>1</v>
      </c>
      <c r="G75" s="20"/>
      <c r="H75" s="43"/>
      <c r="I75" s="47"/>
      <c r="J75" s="35"/>
      <c r="K75" s="36" t="b">
        <v>1</v>
      </c>
      <c r="L75" s="33" t="s">
        <v>231</v>
      </c>
      <c r="M75" s="30">
        <v>42027.500092592592</v>
      </c>
    </row>
    <row r="76" spans="1:13" s="29" customFormat="1" ht="15" hidden="1" customHeight="1" outlineLevel="2" x14ac:dyDescent="0.25">
      <c r="A76" s="131">
        <v>19552</v>
      </c>
      <c r="B76" s="28" t="s">
        <v>86</v>
      </c>
      <c r="C76" s="41" t="s">
        <v>3</v>
      </c>
      <c r="D76" s="122">
        <v>1.1574074074074073E-3</v>
      </c>
      <c r="E76" s="122" t="s">
        <v>423</v>
      </c>
      <c r="F76" s="122" t="b">
        <v>1</v>
      </c>
      <c r="G76" s="20"/>
      <c r="H76" s="43"/>
      <c r="I76" s="47"/>
      <c r="J76" s="35"/>
      <c r="K76" s="36" t="b">
        <v>1</v>
      </c>
      <c r="L76" s="33" t="s">
        <v>231</v>
      </c>
      <c r="M76" s="30">
        <v>42027.500092592592</v>
      </c>
    </row>
    <row r="77" spans="1:13" s="29" customFormat="1" ht="15" hidden="1" customHeight="1" outlineLevel="2" x14ac:dyDescent="0.25">
      <c r="A77" s="131">
        <v>19553</v>
      </c>
      <c r="B77" s="28" t="s">
        <v>87</v>
      </c>
      <c r="C77" s="41" t="s">
        <v>3</v>
      </c>
      <c r="D77" s="122">
        <v>3.0092592592592588E-3</v>
      </c>
      <c r="E77" s="122" t="s">
        <v>423</v>
      </c>
      <c r="F77" s="122" t="b">
        <v>1</v>
      </c>
      <c r="G77" s="20"/>
      <c r="H77" s="43"/>
      <c r="I77" s="47"/>
      <c r="J77" s="35"/>
      <c r="K77" s="36" t="b">
        <v>1</v>
      </c>
      <c r="L77" s="33" t="s">
        <v>231</v>
      </c>
      <c r="M77" s="30">
        <v>42027.500092592592</v>
      </c>
    </row>
    <row r="78" spans="1:13" s="29" customFormat="1" ht="15" hidden="1" customHeight="1" outlineLevel="2" x14ac:dyDescent="0.25">
      <c r="A78" s="131">
        <v>19554</v>
      </c>
      <c r="B78" s="28" t="s">
        <v>88</v>
      </c>
      <c r="C78" s="41" t="s">
        <v>3</v>
      </c>
      <c r="D78" s="122">
        <v>1.6203703703703703E-3</v>
      </c>
      <c r="E78" s="122" t="s">
        <v>423</v>
      </c>
      <c r="F78" s="122" t="b">
        <v>1</v>
      </c>
      <c r="G78" s="20"/>
      <c r="H78" s="43"/>
      <c r="I78" s="47"/>
      <c r="J78" s="35"/>
      <c r="K78" s="36" t="b">
        <v>1</v>
      </c>
      <c r="L78" s="33" t="s">
        <v>231</v>
      </c>
      <c r="M78" s="30">
        <v>42027.500092592592</v>
      </c>
    </row>
    <row r="79" spans="1:13" s="29" customFormat="1" ht="15" hidden="1" customHeight="1" outlineLevel="2" x14ac:dyDescent="0.25">
      <c r="A79" s="131">
        <v>19555</v>
      </c>
      <c r="B79" s="28" t="s">
        <v>89</v>
      </c>
      <c r="C79" s="41" t="s">
        <v>3</v>
      </c>
      <c r="D79" s="122">
        <v>6.2499999999999995E-3</v>
      </c>
      <c r="E79" s="122" t="s">
        <v>423</v>
      </c>
      <c r="F79" s="122" t="b">
        <v>1</v>
      </c>
      <c r="G79" s="20"/>
      <c r="H79" s="43" t="s">
        <v>494</v>
      </c>
      <c r="I79" s="47"/>
      <c r="J79" s="35"/>
      <c r="K79" s="36" t="b">
        <v>1</v>
      </c>
      <c r="L79" s="33" t="s">
        <v>231</v>
      </c>
      <c r="M79" s="30">
        <v>42027.500092592592</v>
      </c>
    </row>
    <row r="80" spans="1:13" s="29" customFormat="1" ht="15" hidden="1" customHeight="1" outlineLevel="2" x14ac:dyDescent="0.25">
      <c r="A80" s="131">
        <v>19556</v>
      </c>
      <c r="B80" s="28" t="s">
        <v>90</v>
      </c>
      <c r="C80" s="41" t="s">
        <v>3</v>
      </c>
      <c r="D80" s="122">
        <v>2.2222222222222223E-2</v>
      </c>
      <c r="E80" s="122" t="s">
        <v>423</v>
      </c>
      <c r="F80" s="122" t="b">
        <v>1</v>
      </c>
      <c r="G80" s="20"/>
      <c r="H80" s="43"/>
      <c r="I80" s="47"/>
      <c r="J80" s="35"/>
      <c r="K80" s="36" t="b">
        <v>1</v>
      </c>
      <c r="L80" s="33" t="s">
        <v>231</v>
      </c>
      <c r="M80" s="30">
        <v>42027.500092592592</v>
      </c>
    </row>
    <row r="81" spans="1:13" s="29" customFormat="1" ht="15" hidden="1" customHeight="1" outlineLevel="2" x14ac:dyDescent="0.25">
      <c r="A81" s="131"/>
      <c r="B81" s="28" t="s">
        <v>573</v>
      </c>
      <c r="C81" s="41"/>
      <c r="D81" s="122"/>
      <c r="E81" s="122"/>
      <c r="F81" s="122"/>
      <c r="G81" s="20"/>
      <c r="H81" s="43"/>
      <c r="I81" s="47"/>
      <c r="J81" s="35"/>
      <c r="K81" s="36"/>
      <c r="L81" s="33"/>
      <c r="M81" s="30">
        <v>42027.500092592592</v>
      </c>
    </row>
    <row r="82" spans="1:13" s="29" customFormat="1" ht="15" hidden="1" customHeight="1" outlineLevel="2" x14ac:dyDescent="0.25">
      <c r="A82" s="131">
        <v>19717</v>
      </c>
      <c r="B82" s="28" t="s">
        <v>91</v>
      </c>
      <c r="C82" s="41" t="s">
        <v>3</v>
      </c>
      <c r="D82" s="122">
        <v>1.7361111111111112E-2</v>
      </c>
      <c r="E82" s="122" t="s">
        <v>423</v>
      </c>
      <c r="F82" s="122" t="b">
        <v>1</v>
      </c>
      <c r="G82" s="20"/>
      <c r="H82" s="43" t="s">
        <v>582</v>
      </c>
      <c r="I82" s="47"/>
      <c r="J82" s="35"/>
      <c r="K82" s="36" t="b">
        <v>1</v>
      </c>
      <c r="L82" s="33" t="s">
        <v>231</v>
      </c>
      <c r="M82" s="30">
        <v>42027.500092592592</v>
      </c>
    </row>
    <row r="83" spans="1:13" s="29" customFormat="1" ht="15" hidden="1" customHeight="1" outlineLevel="2" x14ac:dyDescent="0.25">
      <c r="A83" s="131">
        <v>19355</v>
      </c>
      <c r="B83" s="28" t="s">
        <v>92</v>
      </c>
      <c r="C83" s="41" t="s">
        <v>3</v>
      </c>
      <c r="D83" s="122">
        <v>2.7777777777777779E-3</v>
      </c>
      <c r="E83" s="122" t="s">
        <v>423</v>
      </c>
      <c r="F83" s="122" t="b">
        <v>1</v>
      </c>
      <c r="G83" s="20"/>
      <c r="H83" s="43"/>
      <c r="I83" s="47"/>
      <c r="J83" s="35"/>
      <c r="K83" s="36" t="b">
        <v>1</v>
      </c>
      <c r="L83" s="33" t="s">
        <v>231</v>
      </c>
      <c r="M83" s="30">
        <v>42027.500092592592</v>
      </c>
    </row>
    <row r="84" spans="1:13" s="29" customFormat="1" ht="15" hidden="1" customHeight="1" outlineLevel="2" x14ac:dyDescent="0.25">
      <c r="A84" s="131">
        <v>19352</v>
      </c>
      <c r="B84" s="28" t="s">
        <v>93</v>
      </c>
      <c r="C84" s="41" t="s">
        <v>3</v>
      </c>
      <c r="D84" s="122">
        <v>2.7777777777777779E-3</v>
      </c>
      <c r="E84" s="122" t="s">
        <v>423</v>
      </c>
      <c r="F84" s="122" t="b">
        <v>1</v>
      </c>
      <c r="G84" s="20"/>
      <c r="H84" s="43"/>
      <c r="I84" s="47"/>
      <c r="J84" s="35"/>
      <c r="K84" s="36" t="b">
        <v>1</v>
      </c>
      <c r="L84" s="33" t="s">
        <v>231</v>
      </c>
      <c r="M84" s="30">
        <v>42020</v>
      </c>
    </row>
    <row r="85" spans="1:13" s="29" customFormat="1" ht="15" hidden="1" customHeight="1" outlineLevel="2" x14ac:dyDescent="0.25">
      <c r="A85" s="131">
        <v>19347</v>
      </c>
      <c r="B85" s="28" t="s">
        <v>94</v>
      </c>
      <c r="C85" s="41" t="s">
        <v>3</v>
      </c>
      <c r="D85" s="122">
        <v>7.6388888888888886E-3</v>
      </c>
      <c r="E85" s="122" t="s">
        <v>423</v>
      </c>
      <c r="F85" s="122" t="b">
        <v>1</v>
      </c>
      <c r="G85" s="20"/>
      <c r="H85" s="43" t="s">
        <v>483</v>
      </c>
      <c r="I85" s="47"/>
      <c r="J85" s="35"/>
      <c r="K85" s="36" t="b">
        <v>1</v>
      </c>
      <c r="L85" s="33" t="s">
        <v>231</v>
      </c>
      <c r="M85" s="30">
        <v>42020</v>
      </c>
    </row>
    <row r="86" spans="1:13" s="29" customFormat="1" ht="15" hidden="1" customHeight="1" outlineLevel="2" x14ac:dyDescent="0.25">
      <c r="A86" s="131">
        <v>19557</v>
      </c>
      <c r="B86" s="28" t="s">
        <v>95</v>
      </c>
      <c r="C86" s="41" t="s">
        <v>3</v>
      </c>
      <c r="D86" s="122">
        <v>1.3888888888888889E-3</v>
      </c>
      <c r="E86" s="122" t="s">
        <v>423</v>
      </c>
      <c r="F86" s="122" t="b">
        <v>1</v>
      </c>
      <c r="G86" s="20"/>
      <c r="H86" s="43"/>
      <c r="I86" s="47"/>
      <c r="J86" s="35"/>
      <c r="K86" s="36" t="b">
        <v>1</v>
      </c>
      <c r="L86" s="33" t="s">
        <v>231</v>
      </c>
      <c r="M86" s="30">
        <v>42020</v>
      </c>
    </row>
    <row r="87" spans="1:13" s="29" customFormat="1" ht="15" hidden="1" customHeight="1" outlineLevel="2" x14ac:dyDescent="0.25">
      <c r="A87" s="131">
        <v>20014</v>
      </c>
      <c r="B87" s="28" t="s">
        <v>96</v>
      </c>
      <c r="C87" s="41" t="s">
        <v>3</v>
      </c>
      <c r="D87" s="122">
        <v>2.4305555555555556E-2</v>
      </c>
      <c r="E87" s="122" t="s">
        <v>423</v>
      </c>
      <c r="F87" s="122" t="b">
        <v>1</v>
      </c>
      <c r="G87" s="20"/>
      <c r="H87" s="43"/>
      <c r="I87" s="47"/>
      <c r="J87" s="35"/>
      <c r="K87" s="36" t="b">
        <v>0</v>
      </c>
      <c r="L87" s="33" t="s">
        <v>231</v>
      </c>
      <c r="M87" s="30">
        <v>42020</v>
      </c>
    </row>
    <row r="88" spans="1:13" s="18" customFormat="1" hidden="1" outlineLevel="1" x14ac:dyDescent="0.25">
      <c r="A88" s="12"/>
      <c r="B88" s="13" t="s">
        <v>574</v>
      </c>
      <c r="C88" s="12"/>
      <c r="D88" s="121"/>
      <c r="E88" s="121"/>
      <c r="F88" s="121"/>
      <c r="G88" s="13"/>
      <c r="H88" s="17"/>
      <c r="I88" s="12"/>
      <c r="J88" s="12"/>
      <c r="K88" s="12"/>
      <c r="L88" s="12"/>
      <c r="M88" s="177"/>
    </row>
    <row r="89" spans="1:13" s="29" customFormat="1" ht="15" hidden="1" customHeight="1" outlineLevel="2" x14ac:dyDescent="0.25">
      <c r="A89" s="131">
        <v>19722</v>
      </c>
      <c r="B89" s="28" t="s">
        <v>97</v>
      </c>
      <c r="C89" s="41" t="s">
        <v>3</v>
      </c>
      <c r="D89" s="122">
        <v>2.0833333333333332E-2</v>
      </c>
      <c r="E89" s="122" t="s">
        <v>423</v>
      </c>
      <c r="F89" s="122" t="b">
        <v>1</v>
      </c>
      <c r="G89" s="20"/>
      <c r="H89" s="43"/>
      <c r="I89" s="47"/>
      <c r="J89" s="35"/>
      <c r="K89" s="36" t="b">
        <v>1</v>
      </c>
      <c r="L89" s="33" t="s">
        <v>231</v>
      </c>
      <c r="M89" s="30">
        <v>42020</v>
      </c>
    </row>
    <row r="90" spans="1:13" s="29" customFormat="1" ht="15" hidden="1" customHeight="1" outlineLevel="2" x14ac:dyDescent="0.25">
      <c r="A90" s="131">
        <v>19354</v>
      </c>
      <c r="B90" s="28" t="s">
        <v>98</v>
      </c>
      <c r="C90" s="41" t="s">
        <v>3</v>
      </c>
      <c r="D90" s="122">
        <v>6.9444444444444441E-3</v>
      </c>
      <c r="E90" s="122" t="s">
        <v>423</v>
      </c>
      <c r="F90" s="122" t="b">
        <v>1</v>
      </c>
      <c r="G90" s="20"/>
      <c r="H90" s="43"/>
      <c r="I90" s="47"/>
      <c r="J90" s="35"/>
      <c r="K90" s="36" t="b">
        <v>1</v>
      </c>
      <c r="L90" s="33" t="s">
        <v>231</v>
      </c>
      <c r="M90" s="30">
        <v>42020</v>
      </c>
    </row>
    <row r="91" spans="1:13" s="29" customFormat="1" ht="15" hidden="1" customHeight="1" outlineLevel="2" x14ac:dyDescent="0.25">
      <c r="A91" s="131">
        <v>19359</v>
      </c>
      <c r="B91" s="28" t="s">
        <v>99</v>
      </c>
      <c r="C91" s="41" t="s">
        <v>3</v>
      </c>
      <c r="D91" s="122">
        <v>8.3333333333333332E-3</v>
      </c>
      <c r="E91" s="122" t="s">
        <v>423</v>
      </c>
      <c r="F91" s="122" t="b">
        <v>1</v>
      </c>
      <c r="G91" s="20"/>
      <c r="H91" s="43"/>
      <c r="I91" s="47"/>
      <c r="J91" s="35"/>
      <c r="K91" s="36" t="b">
        <v>1</v>
      </c>
      <c r="L91" s="33" t="s">
        <v>231</v>
      </c>
      <c r="M91" s="30">
        <v>42020</v>
      </c>
    </row>
    <row r="92" spans="1:13" s="29" customFormat="1" ht="15" hidden="1" customHeight="1" outlineLevel="2" x14ac:dyDescent="0.25">
      <c r="A92" s="131">
        <v>19341</v>
      </c>
      <c r="B92" s="28" t="s">
        <v>100</v>
      </c>
      <c r="C92" s="41" t="s">
        <v>3</v>
      </c>
      <c r="D92" s="122">
        <v>3.472222222222222E-3</v>
      </c>
      <c r="E92" s="122" t="s">
        <v>423</v>
      </c>
      <c r="F92" s="122" t="b">
        <v>1</v>
      </c>
      <c r="G92" s="20"/>
      <c r="H92" s="43"/>
      <c r="I92" s="47"/>
      <c r="J92" s="35"/>
      <c r="K92" s="36" t="b">
        <v>1</v>
      </c>
      <c r="L92" s="33" t="s">
        <v>231</v>
      </c>
      <c r="M92" s="30">
        <v>42020</v>
      </c>
    </row>
    <row r="93" spans="1:13" s="18" customFormat="1" hidden="1" outlineLevel="1" x14ac:dyDescent="0.25">
      <c r="A93" s="12"/>
      <c r="B93" s="13" t="s">
        <v>575</v>
      </c>
      <c r="C93" s="12"/>
      <c r="D93" s="121"/>
      <c r="E93" s="121"/>
      <c r="F93" s="121"/>
      <c r="G93" s="13"/>
      <c r="H93" s="17"/>
      <c r="I93" s="12"/>
      <c r="J93" s="12"/>
      <c r="K93" s="12"/>
      <c r="L93" s="12"/>
      <c r="M93" s="177"/>
    </row>
    <row r="94" spans="1:13" s="29" customFormat="1" ht="15" hidden="1" customHeight="1" outlineLevel="2" x14ac:dyDescent="0.25">
      <c r="A94" s="131">
        <v>19361</v>
      </c>
      <c r="B94" s="28" t="s">
        <v>101</v>
      </c>
      <c r="C94" s="41" t="s">
        <v>3</v>
      </c>
      <c r="D94" s="122">
        <v>5.9027777777777783E-2</v>
      </c>
      <c r="E94" s="122" t="s">
        <v>423</v>
      </c>
      <c r="F94" s="122" t="b">
        <v>1</v>
      </c>
      <c r="G94" s="20"/>
      <c r="H94" s="43" t="s">
        <v>583</v>
      </c>
      <c r="I94" s="47"/>
      <c r="J94" s="35"/>
      <c r="K94" s="36" t="b">
        <v>1</v>
      </c>
      <c r="L94" s="33" t="s">
        <v>231</v>
      </c>
      <c r="M94" s="30">
        <v>42045.635451388887</v>
      </c>
    </row>
    <row r="95" spans="1:13" s="29" customFormat="1" ht="15" hidden="1" customHeight="1" outlineLevel="2" x14ac:dyDescent="0.25">
      <c r="A95" s="131">
        <v>19356</v>
      </c>
      <c r="B95" s="28" t="s">
        <v>102</v>
      </c>
      <c r="C95" s="41" t="s">
        <v>3</v>
      </c>
      <c r="D95" s="122">
        <v>1.3888888888888889E-3</v>
      </c>
      <c r="E95" s="122" t="s">
        <v>423</v>
      </c>
      <c r="F95" s="122" t="b">
        <v>1</v>
      </c>
      <c r="G95" s="20"/>
      <c r="H95" s="43"/>
      <c r="I95" s="47"/>
      <c r="J95" s="35"/>
      <c r="K95" s="36" t="b">
        <v>1</v>
      </c>
      <c r="L95" s="33" t="s">
        <v>231</v>
      </c>
      <c r="M95" s="30">
        <v>42020</v>
      </c>
    </row>
    <row r="96" spans="1:13" s="29" customFormat="1" ht="15" hidden="1" customHeight="1" outlineLevel="2" x14ac:dyDescent="0.25">
      <c r="A96" s="131">
        <v>19360</v>
      </c>
      <c r="B96" s="28" t="s">
        <v>103</v>
      </c>
      <c r="C96" s="41" t="s">
        <v>3</v>
      </c>
      <c r="D96" s="122">
        <v>2.0833333333333333E-3</v>
      </c>
      <c r="E96" s="122" t="s">
        <v>423</v>
      </c>
      <c r="F96" s="122" t="b">
        <v>1</v>
      </c>
      <c r="G96" s="20"/>
      <c r="H96" s="43"/>
      <c r="I96" s="47"/>
      <c r="J96" s="35"/>
      <c r="K96" s="36" t="b">
        <v>1</v>
      </c>
      <c r="L96" s="33" t="s">
        <v>231</v>
      </c>
      <c r="M96" s="30">
        <v>42020</v>
      </c>
    </row>
    <row r="97" spans="1:13" s="29" customFormat="1" ht="15" hidden="1" customHeight="1" outlineLevel="2" x14ac:dyDescent="0.25">
      <c r="A97" s="131">
        <v>19351</v>
      </c>
      <c r="B97" s="28" t="s">
        <v>104</v>
      </c>
      <c r="C97" s="41" t="s">
        <v>3</v>
      </c>
      <c r="D97" s="122">
        <v>3.4722222222222224E-2</v>
      </c>
      <c r="E97" s="122" t="s">
        <v>423</v>
      </c>
      <c r="F97" s="122" t="b">
        <v>1</v>
      </c>
      <c r="G97" s="20"/>
      <c r="H97" s="43"/>
      <c r="I97" s="47"/>
      <c r="J97" s="35"/>
      <c r="K97" s="36" t="b">
        <v>1</v>
      </c>
      <c r="L97" s="33" t="s">
        <v>231</v>
      </c>
      <c r="M97" s="30">
        <v>42020</v>
      </c>
    </row>
    <row r="98" spans="1:13" s="29" customFormat="1" ht="15" hidden="1" customHeight="1" outlineLevel="2" x14ac:dyDescent="0.25">
      <c r="A98" s="131">
        <v>21126</v>
      </c>
      <c r="B98" s="28" t="s">
        <v>105</v>
      </c>
      <c r="C98" s="41" t="s">
        <v>3</v>
      </c>
      <c r="D98" s="122">
        <v>3.3333333333333333E-2</v>
      </c>
      <c r="E98" s="122" t="s">
        <v>423</v>
      </c>
      <c r="F98" s="122" t="b">
        <v>1</v>
      </c>
      <c r="G98" s="20"/>
      <c r="H98" s="43"/>
      <c r="I98" s="47"/>
      <c r="J98" s="35"/>
      <c r="K98" s="36" t="b">
        <v>1</v>
      </c>
      <c r="L98" s="33" t="s">
        <v>231</v>
      </c>
      <c r="M98" s="30">
        <v>42020</v>
      </c>
    </row>
    <row r="99" spans="1:13" s="18" customFormat="1" hidden="1" outlineLevel="1" x14ac:dyDescent="0.25">
      <c r="A99" s="12"/>
      <c r="B99" s="13" t="s">
        <v>576</v>
      </c>
      <c r="C99" s="12"/>
      <c r="D99" s="121"/>
      <c r="E99" s="121"/>
      <c r="F99" s="121"/>
      <c r="G99" s="13"/>
      <c r="H99" s="17"/>
      <c r="I99" s="12"/>
      <c r="J99" s="12"/>
      <c r="K99" s="12"/>
      <c r="L99" s="12"/>
      <c r="M99" s="177"/>
    </row>
    <row r="100" spans="1:13" s="29" customFormat="1" ht="15" hidden="1" customHeight="1" outlineLevel="2" x14ac:dyDescent="0.25">
      <c r="A100" s="131">
        <v>19362</v>
      </c>
      <c r="B100" s="28" t="s">
        <v>106</v>
      </c>
      <c r="C100" s="41" t="s">
        <v>3</v>
      </c>
      <c r="D100" s="122">
        <v>5.2083333333333336E-2</v>
      </c>
      <c r="E100" s="122" t="s">
        <v>423</v>
      </c>
      <c r="F100" s="122" t="b">
        <v>1</v>
      </c>
      <c r="G100" s="20"/>
      <c r="H100" s="43"/>
      <c r="I100" s="47"/>
      <c r="J100" s="35"/>
      <c r="K100" s="36" t="b">
        <v>1</v>
      </c>
      <c r="L100" s="33" t="s">
        <v>231</v>
      </c>
      <c r="M100" s="30">
        <v>42020</v>
      </c>
    </row>
    <row r="101" spans="1:13" s="29" customFormat="1" ht="15" hidden="1" customHeight="1" outlineLevel="2" x14ac:dyDescent="0.25">
      <c r="A101" s="131">
        <v>19343</v>
      </c>
      <c r="B101" s="28" t="s">
        <v>107</v>
      </c>
      <c r="C101" s="41" t="s">
        <v>3</v>
      </c>
      <c r="D101" s="122">
        <v>0.11458333333333333</v>
      </c>
      <c r="E101" s="122" t="s">
        <v>423</v>
      </c>
      <c r="F101" s="122" t="b">
        <v>1</v>
      </c>
      <c r="G101" s="20"/>
      <c r="H101" s="43" t="s">
        <v>584</v>
      </c>
      <c r="I101" s="47"/>
      <c r="J101" s="35"/>
      <c r="K101" s="36" t="b">
        <v>0</v>
      </c>
      <c r="L101" s="33" t="s">
        <v>231</v>
      </c>
      <c r="M101" s="30">
        <v>42020</v>
      </c>
    </row>
    <row r="102" spans="1:13" s="29" customFormat="1" ht="15" hidden="1" customHeight="1" outlineLevel="2" x14ac:dyDescent="0.25">
      <c r="A102" s="131">
        <v>19350</v>
      </c>
      <c r="B102" s="28" t="s">
        <v>108</v>
      </c>
      <c r="C102" s="41" t="s">
        <v>3</v>
      </c>
      <c r="D102" s="122">
        <v>4.8611111111111112E-3</v>
      </c>
      <c r="E102" s="122" t="s">
        <v>423</v>
      </c>
      <c r="F102" s="122" t="b">
        <v>1</v>
      </c>
      <c r="G102" s="20"/>
      <c r="H102" s="43"/>
      <c r="I102" s="47"/>
      <c r="J102" s="35"/>
      <c r="K102" s="36" t="b">
        <v>1</v>
      </c>
      <c r="L102" s="33" t="s">
        <v>231</v>
      </c>
      <c r="M102" s="30">
        <v>42020</v>
      </c>
    </row>
    <row r="103" spans="1:13" s="18" customFormat="1" hidden="1" outlineLevel="1" x14ac:dyDescent="0.25">
      <c r="A103" s="12"/>
      <c r="B103" s="13" t="s">
        <v>577</v>
      </c>
      <c r="C103" s="12"/>
      <c r="D103" s="121"/>
      <c r="E103" s="121"/>
      <c r="F103" s="121"/>
      <c r="G103" s="13"/>
      <c r="H103" s="17"/>
      <c r="I103" s="12"/>
      <c r="J103" s="12"/>
      <c r="K103" s="12"/>
      <c r="L103" s="12"/>
      <c r="M103" s="177"/>
    </row>
    <row r="104" spans="1:13" s="29" customFormat="1" ht="15" hidden="1" customHeight="1" outlineLevel="2" x14ac:dyDescent="0.25">
      <c r="A104" s="131">
        <v>19348</v>
      </c>
      <c r="B104" s="28" t="s">
        <v>109</v>
      </c>
      <c r="C104" s="41" t="s">
        <v>3</v>
      </c>
      <c r="D104" s="122">
        <v>2.0833333333333332E-2</v>
      </c>
      <c r="E104" s="122" t="s">
        <v>423</v>
      </c>
      <c r="F104" s="122" t="b">
        <v>1</v>
      </c>
      <c r="G104" s="20"/>
      <c r="H104" s="43" t="s">
        <v>51</v>
      </c>
      <c r="I104" s="47"/>
      <c r="J104" s="35"/>
      <c r="K104" s="36" t="b">
        <v>1</v>
      </c>
      <c r="L104" s="33" t="s">
        <v>231</v>
      </c>
      <c r="M104" s="30">
        <v>42020</v>
      </c>
    </row>
    <row r="105" spans="1:13" s="29" customFormat="1" ht="15" hidden="1" customHeight="1" outlineLevel="2" x14ac:dyDescent="0.25">
      <c r="A105" s="131">
        <v>19344</v>
      </c>
      <c r="B105" s="28" t="s">
        <v>110</v>
      </c>
      <c r="C105" s="41" t="s">
        <v>3</v>
      </c>
      <c r="D105" s="122">
        <v>8.3333333333333329E-2</v>
      </c>
      <c r="E105" s="122" t="s">
        <v>423</v>
      </c>
      <c r="F105" s="122" t="b">
        <v>1</v>
      </c>
      <c r="G105" s="20"/>
      <c r="H105" s="43" t="s">
        <v>555</v>
      </c>
      <c r="I105" s="47"/>
      <c r="J105" s="35"/>
      <c r="K105" s="36" t="b">
        <v>0</v>
      </c>
      <c r="L105" s="33" t="s">
        <v>231</v>
      </c>
      <c r="M105" s="30">
        <v>42020</v>
      </c>
    </row>
    <row r="106" spans="1:13" s="29" customFormat="1" ht="15" hidden="1" customHeight="1" outlineLevel="2" x14ac:dyDescent="0.25">
      <c r="A106" s="131">
        <v>19366</v>
      </c>
      <c r="B106" s="28" t="s">
        <v>111</v>
      </c>
      <c r="C106" s="41" t="s">
        <v>3</v>
      </c>
      <c r="D106" s="122">
        <v>3.472222222222222E-3</v>
      </c>
      <c r="E106" s="122" t="s">
        <v>423</v>
      </c>
      <c r="F106" s="122" t="b">
        <v>1</v>
      </c>
      <c r="G106" s="20"/>
      <c r="H106" s="43"/>
      <c r="I106" s="47"/>
      <c r="J106" s="35"/>
      <c r="K106" s="36" t="b">
        <v>1</v>
      </c>
      <c r="L106" s="33" t="s">
        <v>231</v>
      </c>
      <c r="M106" s="30">
        <v>42020</v>
      </c>
    </row>
    <row r="107" spans="1:13" s="18" customFormat="1" hidden="1" outlineLevel="1" x14ac:dyDescent="0.25">
      <c r="A107" s="12"/>
      <c r="B107" s="13" t="s">
        <v>578</v>
      </c>
      <c r="C107" s="12"/>
      <c r="D107" s="121"/>
      <c r="E107" s="121"/>
      <c r="F107" s="121"/>
      <c r="G107" s="13"/>
      <c r="H107" s="17"/>
      <c r="I107" s="12"/>
      <c r="J107" s="12"/>
      <c r="K107" s="12"/>
      <c r="L107" s="12"/>
      <c r="M107" s="177"/>
    </row>
    <row r="108" spans="1:13" s="29" customFormat="1" ht="15" hidden="1" customHeight="1" outlineLevel="2" x14ac:dyDescent="0.25">
      <c r="A108" s="131">
        <v>20181</v>
      </c>
      <c r="B108" s="28" t="s">
        <v>112</v>
      </c>
      <c r="C108" s="41" t="s">
        <v>3</v>
      </c>
      <c r="D108" s="122">
        <v>1.0416666666666666E-2</v>
      </c>
      <c r="E108" s="122" t="s">
        <v>423</v>
      </c>
      <c r="F108" s="122" t="b">
        <v>1</v>
      </c>
      <c r="G108" s="20"/>
      <c r="H108" s="43"/>
      <c r="I108" s="47"/>
      <c r="J108" s="35"/>
      <c r="K108" s="36" t="b">
        <v>1</v>
      </c>
      <c r="L108" s="33" t="s">
        <v>232</v>
      </c>
      <c r="M108" s="30">
        <v>42020</v>
      </c>
    </row>
    <row r="109" spans="1:13" s="29" customFormat="1" ht="15" hidden="1" customHeight="1" outlineLevel="2" x14ac:dyDescent="0.25">
      <c r="A109" s="131">
        <v>20182</v>
      </c>
      <c r="B109" s="28" t="s">
        <v>53</v>
      </c>
      <c r="C109" s="41" t="s">
        <v>3</v>
      </c>
      <c r="D109" s="122">
        <v>6.9444444444444441E-3</v>
      </c>
      <c r="E109" s="122" t="s">
        <v>423</v>
      </c>
      <c r="F109" s="122" t="b">
        <v>1</v>
      </c>
      <c r="G109" s="20"/>
      <c r="H109" s="43"/>
      <c r="I109" s="47"/>
      <c r="J109" s="35"/>
      <c r="K109" s="36" t="b">
        <v>1</v>
      </c>
      <c r="L109" s="33" t="s">
        <v>232</v>
      </c>
      <c r="M109" s="30">
        <v>42020</v>
      </c>
    </row>
    <row r="110" spans="1:13" s="29" customFormat="1" ht="15" hidden="1" customHeight="1" outlineLevel="2" x14ac:dyDescent="0.25">
      <c r="A110" s="131">
        <v>29323</v>
      </c>
      <c r="B110" s="28" t="s">
        <v>113</v>
      </c>
      <c r="C110" s="41" t="s">
        <v>3</v>
      </c>
      <c r="D110" s="122">
        <v>0.16666666666666666</v>
      </c>
      <c r="E110" s="122" t="s">
        <v>423</v>
      </c>
      <c r="F110" s="122" t="b">
        <v>0</v>
      </c>
      <c r="G110" s="20"/>
      <c r="H110" s="43" t="s">
        <v>585</v>
      </c>
      <c r="I110" s="47"/>
      <c r="J110" s="35"/>
      <c r="K110" s="36" t="b">
        <v>1</v>
      </c>
      <c r="L110" s="33" t="s">
        <v>232</v>
      </c>
      <c r="M110" s="30">
        <v>42020</v>
      </c>
    </row>
    <row r="111" spans="1:13" s="29" customFormat="1" ht="15" hidden="1" customHeight="1" outlineLevel="2" x14ac:dyDescent="0.25">
      <c r="A111" s="131">
        <v>28890</v>
      </c>
      <c r="B111" s="28" t="s">
        <v>114</v>
      </c>
      <c r="C111" s="41" t="s">
        <v>3</v>
      </c>
      <c r="D111" s="122">
        <v>5.5555555555555552E-2</v>
      </c>
      <c r="E111" s="122" t="s">
        <v>423</v>
      </c>
      <c r="F111" s="122" t="b">
        <v>1</v>
      </c>
      <c r="G111" s="20"/>
      <c r="H111" s="43" t="s">
        <v>586</v>
      </c>
      <c r="I111" s="47"/>
      <c r="J111" s="35"/>
      <c r="K111" s="36" t="b">
        <v>1</v>
      </c>
      <c r="L111" s="33" t="s">
        <v>232</v>
      </c>
      <c r="M111" s="30">
        <v>42020</v>
      </c>
    </row>
    <row r="112" spans="1:13" s="18" customFormat="1" hidden="1" outlineLevel="1" x14ac:dyDescent="0.25">
      <c r="A112" s="12"/>
      <c r="B112" s="13" t="s">
        <v>579</v>
      </c>
      <c r="C112" s="12"/>
      <c r="D112" s="121"/>
      <c r="E112" s="121"/>
      <c r="F112" s="121"/>
      <c r="G112" s="13"/>
      <c r="H112" s="17"/>
      <c r="I112" s="12"/>
      <c r="J112" s="12"/>
      <c r="K112" s="12"/>
      <c r="L112" s="12"/>
      <c r="M112" s="177"/>
    </row>
    <row r="113" spans="1:13" s="29" customFormat="1" ht="15" hidden="1" customHeight="1" outlineLevel="2" x14ac:dyDescent="0.25">
      <c r="A113" s="131">
        <v>19406</v>
      </c>
      <c r="B113" s="28" t="s">
        <v>115</v>
      </c>
      <c r="C113" s="41" t="s">
        <v>3</v>
      </c>
      <c r="D113" s="122">
        <v>5.5555555555555558E-3</v>
      </c>
      <c r="E113" s="122" t="s">
        <v>423</v>
      </c>
      <c r="F113" s="122" t="b">
        <v>0</v>
      </c>
      <c r="G113" s="20"/>
      <c r="H113" s="43" t="s">
        <v>587</v>
      </c>
      <c r="I113" s="47"/>
      <c r="J113" s="35"/>
      <c r="K113" s="36" t="b">
        <v>1</v>
      </c>
      <c r="L113" s="33" t="s">
        <v>232</v>
      </c>
      <c r="M113" s="30">
        <v>42020</v>
      </c>
    </row>
    <row r="114" spans="1:13" s="29" customFormat="1" ht="15" hidden="1" customHeight="1" outlineLevel="2" x14ac:dyDescent="0.25">
      <c r="A114" s="131">
        <v>19405</v>
      </c>
      <c r="B114" s="28" t="s">
        <v>116</v>
      </c>
      <c r="C114" s="41" t="s">
        <v>3</v>
      </c>
      <c r="D114" s="122">
        <v>4.3287037037037035E-3</v>
      </c>
      <c r="E114" s="122" t="s">
        <v>423</v>
      </c>
      <c r="F114" s="122" t="b">
        <v>1</v>
      </c>
      <c r="G114" s="20"/>
      <c r="H114" s="43" t="s">
        <v>588</v>
      </c>
      <c r="I114" s="47"/>
      <c r="J114" s="35"/>
      <c r="K114" s="36" t="b">
        <v>1</v>
      </c>
      <c r="L114" s="33" t="s">
        <v>232</v>
      </c>
      <c r="M114" s="30">
        <v>42020</v>
      </c>
    </row>
    <row r="115" spans="1:13" s="29" customFormat="1" ht="15" hidden="1" customHeight="1" outlineLevel="2" x14ac:dyDescent="0.25">
      <c r="A115" s="131">
        <v>19964</v>
      </c>
      <c r="B115" s="28" t="s">
        <v>117</v>
      </c>
      <c r="C115" s="41" t="s">
        <v>3</v>
      </c>
      <c r="D115" s="122">
        <v>9.0277777777777787E-3</v>
      </c>
      <c r="E115" s="122" t="s">
        <v>423</v>
      </c>
      <c r="F115" s="122" t="b">
        <v>1</v>
      </c>
      <c r="G115" s="20"/>
      <c r="H115" s="43" t="s">
        <v>484</v>
      </c>
      <c r="I115" s="47"/>
      <c r="J115" s="35"/>
      <c r="K115" s="36" t="b">
        <v>1</v>
      </c>
      <c r="L115" s="33" t="s">
        <v>232</v>
      </c>
      <c r="M115" s="30">
        <v>42020</v>
      </c>
    </row>
    <row r="116" spans="1:13" s="29" customFormat="1" ht="15" hidden="1" customHeight="1" outlineLevel="2" x14ac:dyDescent="0.25">
      <c r="A116" s="131">
        <v>19963</v>
      </c>
      <c r="B116" s="28" t="s">
        <v>118</v>
      </c>
      <c r="C116" s="41" t="s">
        <v>3</v>
      </c>
      <c r="D116" s="122">
        <v>1.3888888888888888E-2</v>
      </c>
      <c r="E116" s="122" t="s">
        <v>423</v>
      </c>
      <c r="F116" s="122" t="b">
        <v>1</v>
      </c>
      <c r="G116" s="20"/>
      <c r="H116" s="43" t="s">
        <v>589</v>
      </c>
      <c r="I116" s="47"/>
      <c r="J116" s="35"/>
      <c r="K116" s="36" t="b">
        <v>1</v>
      </c>
      <c r="L116" s="33" t="s">
        <v>232</v>
      </c>
      <c r="M116" s="30">
        <v>42020</v>
      </c>
    </row>
    <row r="117" spans="1:13" s="29" customFormat="1" ht="15" hidden="1" customHeight="1" outlineLevel="2" x14ac:dyDescent="0.25">
      <c r="A117" s="131">
        <v>19965</v>
      </c>
      <c r="B117" s="28" t="s">
        <v>119</v>
      </c>
      <c r="C117" s="41" t="s">
        <v>3</v>
      </c>
      <c r="D117" s="122">
        <v>1.0416666666666666E-2</v>
      </c>
      <c r="E117" s="122" t="s">
        <v>423</v>
      </c>
      <c r="F117" s="122" t="b">
        <v>0</v>
      </c>
      <c r="G117" s="20"/>
      <c r="H117" s="43" t="s">
        <v>590</v>
      </c>
      <c r="I117" s="47"/>
      <c r="J117" s="35"/>
      <c r="K117" s="36" t="b">
        <v>1</v>
      </c>
      <c r="L117" s="33" t="s">
        <v>232</v>
      </c>
      <c r="M117" s="30">
        <v>42020</v>
      </c>
    </row>
    <row r="118" spans="1:13" s="29" customFormat="1" ht="15" hidden="1" customHeight="1" outlineLevel="2" x14ac:dyDescent="0.25">
      <c r="A118" s="131">
        <v>19967</v>
      </c>
      <c r="B118" s="28" t="s">
        <v>120</v>
      </c>
      <c r="C118" s="41" t="s">
        <v>3</v>
      </c>
      <c r="D118" s="122">
        <v>5.5555555555555558E-3</v>
      </c>
      <c r="E118" s="122" t="s">
        <v>423</v>
      </c>
      <c r="F118" s="122" t="b">
        <v>0</v>
      </c>
      <c r="G118" s="20"/>
      <c r="H118" s="43" t="s">
        <v>485</v>
      </c>
      <c r="I118" s="47"/>
      <c r="J118" s="35"/>
      <c r="K118" s="36" t="b">
        <v>1</v>
      </c>
      <c r="L118" s="33" t="s">
        <v>232</v>
      </c>
      <c r="M118" s="30">
        <v>42020</v>
      </c>
    </row>
    <row r="119" spans="1:13" s="18" customFormat="1" hidden="1" outlineLevel="1" x14ac:dyDescent="0.25">
      <c r="A119" s="12"/>
      <c r="B119" s="13" t="s">
        <v>580</v>
      </c>
      <c r="C119" s="12"/>
      <c r="D119" s="121"/>
      <c r="E119" s="121"/>
      <c r="F119" s="121"/>
      <c r="G119" s="13"/>
      <c r="H119" s="17"/>
      <c r="I119" s="12"/>
      <c r="J119" s="12"/>
      <c r="K119" s="12"/>
      <c r="L119" s="12"/>
      <c r="M119" s="177"/>
    </row>
    <row r="120" spans="1:13" s="29" customFormat="1" ht="15" hidden="1" customHeight="1" outlineLevel="2" x14ac:dyDescent="0.25">
      <c r="A120" s="131">
        <v>21143</v>
      </c>
      <c r="B120" s="28" t="s">
        <v>121</v>
      </c>
      <c r="C120" s="41" t="s">
        <v>3</v>
      </c>
      <c r="D120" s="122">
        <v>1.6666666666666666E-2</v>
      </c>
      <c r="E120" s="122" t="s">
        <v>423</v>
      </c>
      <c r="F120" s="122" t="b">
        <v>0</v>
      </c>
      <c r="G120" s="20"/>
      <c r="H120" s="43"/>
      <c r="I120" s="47"/>
      <c r="J120" s="35"/>
      <c r="K120" s="36" t="b">
        <v>1</v>
      </c>
      <c r="L120" s="33" t="s">
        <v>232</v>
      </c>
      <c r="M120" s="30">
        <v>42020</v>
      </c>
    </row>
    <row r="121" spans="1:13" s="29" customFormat="1" ht="15" hidden="1" customHeight="1" outlineLevel="2" x14ac:dyDescent="0.25">
      <c r="A121" s="131">
        <v>21144</v>
      </c>
      <c r="B121" s="28" t="s">
        <v>122</v>
      </c>
      <c r="C121" s="41" t="s">
        <v>3</v>
      </c>
      <c r="D121" s="122">
        <v>4.8611111111111112E-3</v>
      </c>
      <c r="E121" s="122" t="s">
        <v>423</v>
      </c>
      <c r="F121" s="122" t="b">
        <v>1</v>
      </c>
      <c r="G121" s="20"/>
      <c r="H121" s="43"/>
      <c r="I121" s="47"/>
      <c r="J121" s="35"/>
      <c r="K121" s="36" t="b">
        <v>1</v>
      </c>
      <c r="L121" s="33" t="s">
        <v>232</v>
      </c>
      <c r="M121" s="30">
        <v>42020</v>
      </c>
    </row>
    <row r="122" spans="1:13" s="29" customFormat="1" ht="15" hidden="1" customHeight="1" outlineLevel="2" x14ac:dyDescent="0.25">
      <c r="A122" s="131">
        <v>21145</v>
      </c>
      <c r="B122" s="28" t="s">
        <v>123</v>
      </c>
      <c r="C122" s="41" t="s">
        <v>3</v>
      </c>
      <c r="D122" s="122">
        <v>1.3888888888888889E-3</v>
      </c>
      <c r="E122" s="122" t="s">
        <v>423</v>
      </c>
      <c r="F122" s="122" t="b">
        <v>0</v>
      </c>
      <c r="G122" s="20"/>
      <c r="H122" s="43"/>
      <c r="I122" s="47"/>
      <c r="J122" s="35"/>
      <c r="K122" s="36" t="b">
        <v>1</v>
      </c>
      <c r="L122" s="33" t="s">
        <v>232</v>
      </c>
      <c r="M122" s="30">
        <v>42020</v>
      </c>
    </row>
    <row r="123" spans="1:13" s="29" customFormat="1" ht="15" hidden="1" customHeight="1" outlineLevel="2" x14ac:dyDescent="0.25">
      <c r="A123" s="131">
        <v>21151</v>
      </c>
      <c r="B123" s="28" t="s">
        <v>124</v>
      </c>
      <c r="C123" s="41" t="s">
        <v>3</v>
      </c>
      <c r="D123" s="122">
        <v>1.0416666666666666E-2</v>
      </c>
      <c r="E123" s="122" t="s">
        <v>423</v>
      </c>
      <c r="F123" s="122" t="b">
        <v>0</v>
      </c>
      <c r="G123" s="20"/>
      <c r="H123" s="43"/>
      <c r="I123" s="47"/>
      <c r="J123" s="35"/>
      <c r="K123" s="36" t="b">
        <v>1</v>
      </c>
      <c r="L123" s="33" t="s">
        <v>232</v>
      </c>
      <c r="M123" s="30">
        <v>42020</v>
      </c>
    </row>
    <row r="124" spans="1:13" s="29" customFormat="1" ht="15" hidden="1" customHeight="1" outlineLevel="2" x14ac:dyDescent="0.25">
      <c r="A124" s="131">
        <v>21146</v>
      </c>
      <c r="B124" s="28" t="s">
        <v>125</v>
      </c>
      <c r="C124" s="41" t="s">
        <v>3</v>
      </c>
      <c r="D124" s="122">
        <v>3.472222222222222E-3</v>
      </c>
      <c r="E124" s="122" t="s">
        <v>423</v>
      </c>
      <c r="F124" s="122" t="b">
        <v>0</v>
      </c>
      <c r="G124" s="20"/>
      <c r="H124" s="43"/>
      <c r="I124" s="47"/>
      <c r="J124" s="35"/>
      <c r="K124" s="36" t="b">
        <v>1</v>
      </c>
      <c r="L124" s="33" t="s">
        <v>232</v>
      </c>
      <c r="M124" s="30">
        <v>42020</v>
      </c>
    </row>
    <row r="125" spans="1:13" s="29" customFormat="1" ht="15" hidden="1" customHeight="1" outlineLevel="2" x14ac:dyDescent="0.25">
      <c r="A125" s="131">
        <v>21155</v>
      </c>
      <c r="B125" s="28" t="s">
        <v>126</v>
      </c>
      <c r="C125" s="41" t="s">
        <v>3</v>
      </c>
      <c r="D125" s="122">
        <v>3.8194444444444443E-3</v>
      </c>
      <c r="E125" s="122" t="s">
        <v>423</v>
      </c>
      <c r="F125" s="122" t="b">
        <v>0</v>
      </c>
      <c r="G125" s="20"/>
      <c r="H125" s="43"/>
      <c r="I125" s="47"/>
      <c r="J125" s="35"/>
      <c r="K125" s="36" t="b">
        <v>1</v>
      </c>
      <c r="L125" s="33" t="s">
        <v>232</v>
      </c>
      <c r="M125" s="30">
        <v>42020</v>
      </c>
    </row>
    <row r="126" spans="1:13" s="29" customFormat="1" ht="15" hidden="1" customHeight="1" outlineLevel="2" x14ac:dyDescent="0.25">
      <c r="A126" s="131">
        <v>21152</v>
      </c>
      <c r="B126" s="28" t="s">
        <v>127</v>
      </c>
      <c r="C126" s="41" t="s">
        <v>3</v>
      </c>
      <c r="D126" s="122">
        <v>1.3888888888888888E-2</v>
      </c>
      <c r="E126" s="122" t="s">
        <v>423</v>
      </c>
      <c r="F126" s="122" t="b">
        <v>0</v>
      </c>
      <c r="G126" s="20"/>
      <c r="H126" s="43" t="s">
        <v>486</v>
      </c>
      <c r="I126" s="47"/>
      <c r="J126" s="35"/>
      <c r="K126" s="36" t="b">
        <v>1</v>
      </c>
      <c r="L126" s="33" t="s">
        <v>232</v>
      </c>
      <c r="M126" s="30">
        <v>42020</v>
      </c>
    </row>
    <row r="127" spans="1:13" s="29" customFormat="1" ht="15" hidden="1" customHeight="1" outlineLevel="2" x14ac:dyDescent="0.25">
      <c r="A127" s="131">
        <v>21147</v>
      </c>
      <c r="B127" s="28" t="s">
        <v>128</v>
      </c>
      <c r="C127" s="41" t="s">
        <v>3</v>
      </c>
      <c r="D127" s="122">
        <v>4.5717592592592589E-3</v>
      </c>
      <c r="E127" s="122" t="s">
        <v>423</v>
      </c>
      <c r="F127" s="122" t="b">
        <v>1</v>
      </c>
      <c r="G127" s="20"/>
      <c r="H127" s="43"/>
      <c r="I127" s="47"/>
      <c r="J127" s="35"/>
      <c r="K127" s="36" t="b">
        <v>1</v>
      </c>
      <c r="L127" s="33" t="s">
        <v>232</v>
      </c>
      <c r="M127" s="30">
        <v>42020</v>
      </c>
    </row>
    <row r="128" spans="1:13" s="29" customFormat="1" ht="15" hidden="1" customHeight="1" outlineLevel="2" x14ac:dyDescent="0.25">
      <c r="A128" s="131">
        <v>21148</v>
      </c>
      <c r="B128" s="28" t="s">
        <v>129</v>
      </c>
      <c r="C128" s="41" t="s">
        <v>3</v>
      </c>
      <c r="D128" s="122">
        <v>3.7673611111111109E-2</v>
      </c>
      <c r="E128" s="122" t="s">
        <v>423</v>
      </c>
      <c r="F128" s="122" t="b">
        <v>1</v>
      </c>
      <c r="G128" s="20"/>
      <c r="H128" s="43"/>
      <c r="I128" s="47"/>
      <c r="J128" s="35"/>
      <c r="K128" s="36" t="b">
        <v>1</v>
      </c>
      <c r="L128" s="33" t="s">
        <v>232</v>
      </c>
      <c r="M128" s="30">
        <v>42020</v>
      </c>
    </row>
    <row r="129" spans="1:13" s="29" customFormat="1" ht="15" hidden="1" customHeight="1" outlineLevel="2" x14ac:dyDescent="0.25">
      <c r="A129" s="131">
        <v>21149</v>
      </c>
      <c r="B129" s="28" t="s">
        <v>130</v>
      </c>
      <c r="C129" s="41" t="s">
        <v>3</v>
      </c>
      <c r="D129" s="122">
        <v>3.472222222222222E-3</v>
      </c>
      <c r="E129" s="122" t="s">
        <v>423</v>
      </c>
      <c r="F129" s="122" t="b">
        <v>1</v>
      </c>
      <c r="G129" s="20"/>
      <c r="H129" s="43" t="s">
        <v>131</v>
      </c>
      <c r="I129" s="47"/>
      <c r="J129" s="35"/>
      <c r="K129" s="36" t="b">
        <v>1</v>
      </c>
      <c r="L129" s="33" t="s">
        <v>232</v>
      </c>
      <c r="M129" s="30">
        <v>42020</v>
      </c>
    </row>
    <row r="130" spans="1:13" s="29" customFormat="1" ht="15" hidden="1" customHeight="1" outlineLevel="2" x14ac:dyDescent="0.25">
      <c r="A130" s="131">
        <v>21153</v>
      </c>
      <c r="B130" s="28" t="s">
        <v>132</v>
      </c>
      <c r="C130" s="41" t="s">
        <v>3</v>
      </c>
      <c r="D130" s="122">
        <v>2.4305555555555556E-2</v>
      </c>
      <c r="E130" s="122" t="s">
        <v>423</v>
      </c>
      <c r="F130" s="122" t="b">
        <v>0</v>
      </c>
      <c r="G130" s="20"/>
      <c r="H130" s="43" t="s">
        <v>486</v>
      </c>
      <c r="I130" s="47"/>
      <c r="J130" s="35"/>
      <c r="K130" s="36" t="b">
        <v>1</v>
      </c>
      <c r="L130" s="33" t="s">
        <v>232</v>
      </c>
      <c r="M130" s="30">
        <v>42020</v>
      </c>
    </row>
    <row r="131" spans="1:13" s="29" customFormat="1" ht="15" hidden="1" customHeight="1" outlineLevel="2" x14ac:dyDescent="0.25">
      <c r="A131" s="131">
        <v>21156</v>
      </c>
      <c r="B131" s="28" t="s">
        <v>133</v>
      </c>
      <c r="C131" s="41" t="s">
        <v>3</v>
      </c>
      <c r="D131" s="122">
        <v>5.5648148148148148E-2</v>
      </c>
      <c r="E131" s="122" t="s">
        <v>423</v>
      </c>
      <c r="F131" s="122" t="b">
        <v>0</v>
      </c>
      <c r="G131" s="20"/>
      <c r="H131" s="43"/>
      <c r="I131" s="47"/>
      <c r="J131" s="35"/>
      <c r="K131" s="36" t="b">
        <v>1</v>
      </c>
      <c r="L131" s="33" t="s">
        <v>232</v>
      </c>
      <c r="M131" s="30">
        <v>42020</v>
      </c>
    </row>
    <row r="132" spans="1:13" s="29" customFormat="1" ht="15" hidden="1" customHeight="1" outlineLevel="2" x14ac:dyDescent="0.25">
      <c r="A132" s="131">
        <v>21157</v>
      </c>
      <c r="B132" s="28" t="s">
        <v>134</v>
      </c>
      <c r="C132" s="41" t="s">
        <v>3</v>
      </c>
      <c r="D132" s="122">
        <v>1.0416666666666666E-2</v>
      </c>
      <c r="E132" s="122" t="s">
        <v>423</v>
      </c>
      <c r="F132" s="122" t="b">
        <v>0</v>
      </c>
      <c r="G132" s="20"/>
      <c r="H132" s="43"/>
      <c r="I132" s="47"/>
      <c r="J132" s="35"/>
      <c r="K132" s="36" t="b">
        <v>1</v>
      </c>
      <c r="L132" s="33" t="s">
        <v>232</v>
      </c>
      <c r="M132" s="30">
        <v>42020</v>
      </c>
    </row>
    <row r="133" spans="1:13" s="29" customFormat="1" ht="15" hidden="1" customHeight="1" outlineLevel="2" x14ac:dyDescent="0.25">
      <c r="A133" s="131">
        <v>21154</v>
      </c>
      <c r="B133" s="28" t="s">
        <v>135</v>
      </c>
      <c r="C133" s="41" t="s">
        <v>3</v>
      </c>
      <c r="D133" s="122">
        <v>1.0416666666666666E-2</v>
      </c>
      <c r="E133" s="122" t="s">
        <v>423</v>
      </c>
      <c r="F133" s="122" t="b">
        <v>0</v>
      </c>
      <c r="G133" s="20"/>
      <c r="H133" s="43" t="s">
        <v>487</v>
      </c>
      <c r="I133" s="47"/>
      <c r="J133" s="35"/>
      <c r="K133" s="36" t="b">
        <v>1</v>
      </c>
      <c r="L133" s="33" t="s">
        <v>232</v>
      </c>
      <c r="M133" s="30">
        <v>42020</v>
      </c>
    </row>
    <row r="134" spans="1:13" s="29" customFormat="1" ht="15" hidden="1" customHeight="1" outlineLevel="2" x14ac:dyDescent="0.25">
      <c r="A134" s="131">
        <v>21150</v>
      </c>
      <c r="B134" s="28" t="s">
        <v>136</v>
      </c>
      <c r="C134" s="41" t="s">
        <v>3</v>
      </c>
      <c r="D134" s="122">
        <v>6.9444444444444441E-3</v>
      </c>
      <c r="E134" s="122" t="s">
        <v>423</v>
      </c>
      <c r="F134" s="122" t="b">
        <v>1</v>
      </c>
      <c r="G134" s="20"/>
      <c r="H134" s="43"/>
      <c r="I134" s="47"/>
      <c r="J134" s="35"/>
      <c r="K134" s="36" t="b">
        <v>1</v>
      </c>
      <c r="L134" s="33" t="s">
        <v>232</v>
      </c>
      <c r="M134" s="30">
        <v>42020</v>
      </c>
    </row>
    <row r="135" spans="1:13" s="29" customFormat="1" ht="15" hidden="1" customHeight="1" outlineLevel="2" x14ac:dyDescent="0.25">
      <c r="A135" s="131">
        <v>20217</v>
      </c>
      <c r="B135" s="28" t="s">
        <v>137</v>
      </c>
      <c r="C135" s="41" t="s">
        <v>3</v>
      </c>
      <c r="D135" s="122">
        <v>1.0416666666666666E-2</v>
      </c>
      <c r="E135" s="122" t="s">
        <v>423</v>
      </c>
      <c r="F135" s="122" t="b">
        <v>0</v>
      </c>
      <c r="G135" s="20"/>
      <c r="H135" s="43" t="s">
        <v>488</v>
      </c>
      <c r="I135" s="47"/>
      <c r="J135" s="35"/>
      <c r="K135" s="36" t="b">
        <v>1</v>
      </c>
      <c r="L135" s="33" t="s">
        <v>232</v>
      </c>
      <c r="M135" s="30">
        <v>42020</v>
      </c>
    </row>
    <row r="136" spans="1:13" s="18" customFormat="1" hidden="1" outlineLevel="1" x14ac:dyDescent="0.25">
      <c r="A136" s="12"/>
      <c r="B136" s="13" t="s">
        <v>581</v>
      </c>
      <c r="C136" s="12"/>
      <c r="D136" s="121"/>
      <c r="E136" s="121"/>
      <c r="F136" s="121"/>
      <c r="G136" s="13"/>
      <c r="H136" s="17"/>
      <c r="I136" s="12"/>
      <c r="J136" s="12"/>
      <c r="K136" s="12"/>
      <c r="L136" s="12"/>
      <c r="M136" s="177"/>
    </row>
    <row r="137" spans="1:13" s="29" customFormat="1" ht="15" hidden="1" customHeight="1" outlineLevel="2" x14ac:dyDescent="0.25">
      <c r="A137" s="131">
        <v>21125</v>
      </c>
      <c r="B137" s="28" t="s">
        <v>138</v>
      </c>
      <c r="C137" s="41" t="s">
        <v>3</v>
      </c>
      <c r="D137" s="122">
        <v>1.0416666666666666E-2</v>
      </c>
      <c r="E137" s="122" t="s">
        <v>423</v>
      </c>
      <c r="F137" s="122" t="b">
        <v>0</v>
      </c>
      <c r="G137" s="20"/>
      <c r="H137" s="43"/>
      <c r="I137" s="47"/>
      <c r="J137" s="35"/>
      <c r="K137" s="36" t="b">
        <v>1</v>
      </c>
      <c r="L137" s="33" t="s">
        <v>232</v>
      </c>
      <c r="M137" s="30">
        <v>42020</v>
      </c>
    </row>
    <row r="138" spans="1:13" s="29" customFormat="1" ht="15" hidden="1" customHeight="1" outlineLevel="2" x14ac:dyDescent="0.25">
      <c r="A138" s="131">
        <v>21118</v>
      </c>
      <c r="B138" s="28" t="s">
        <v>139</v>
      </c>
      <c r="C138" s="41" t="s">
        <v>3</v>
      </c>
      <c r="D138" s="122">
        <v>4.8611111111111112E-3</v>
      </c>
      <c r="E138" s="122" t="s">
        <v>423</v>
      </c>
      <c r="F138" s="122" t="b">
        <v>0</v>
      </c>
      <c r="G138" s="20"/>
      <c r="H138" s="43"/>
      <c r="I138" s="47"/>
      <c r="J138" s="35"/>
      <c r="K138" s="36" t="b">
        <v>1</v>
      </c>
      <c r="L138" s="33" t="s">
        <v>232</v>
      </c>
      <c r="M138" s="30">
        <v>42020</v>
      </c>
    </row>
    <row r="139" spans="1:13" s="29" customFormat="1" ht="15" hidden="1" customHeight="1" outlineLevel="2" x14ac:dyDescent="0.25">
      <c r="A139" s="131">
        <v>21124</v>
      </c>
      <c r="B139" s="28" t="s">
        <v>140</v>
      </c>
      <c r="C139" s="41" t="s">
        <v>3</v>
      </c>
      <c r="D139" s="122">
        <v>1.0416666666666666E-2</v>
      </c>
      <c r="E139" s="122" t="s">
        <v>423</v>
      </c>
      <c r="F139" s="122" t="b">
        <v>0</v>
      </c>
      <c r="G139" s="20"/>
      <c r="H139" s="43"/>
      <c r="I139" s="47"/>
      <c r="J139" s="35"/>
      <c r="K139" s="36" t="b">
        <v>1</v>
      </c>
      <c r="L139" s="33" t="s">
        <v>232</v>
      </c>
      <c r="M139" s="30">
        <v>42020</v>
      </c>
    </row>
    <row r="140" spans="1:13" s="29" customFormat="1" ht="15" hidden="1" customHeight="1" outlineLevel="2" x14ac:dyDescent="0.25">
      <c r="A140" s="131">
        <v>21120</v>
      </c>
      <c r="B140" s="28" t="s">
        <v>141</v>
      </c>
      <c r="C140" s="41" t="s">
        <v>3</v>
      </c>
      <c r="D140" s="122">
        <v>6.9444444444444441E-3</v>
      </c>
      <c r="E140" s="122" t="s">
        <v>423</v>
      </c>
      <c r="F140" s="122" t="b">
        <v>0</v>
      </c>
      <c r="G140" s="20"/>
      <c r="H140" s="43" t="s">
        <v>142</v>
      </c>
      <c r="I140" s="47"/>
      <c r="J140" s="35"/>
      <c r="K140" s="36" t="b">
        <v>1</v>
      </c>
      <c r="L140" s="33" t="s">
        <v>232</v>
      </c>
      <c r="M140" s="30">
        <v>42020</v>
      </c>
    </row>
    <row r="141" spans="1:13" s="29" customFormat="1" ht="15" hidden="1" customHeight="1" outlineLevel="2" x14ac:dyDescent="0.25">
      <c r="A141" s="131">
        <v>21121</v>
      </c>
      <c r="B141" s="28" t="s">
        <v>143</v>
      </c>
      <c r="C141" s="41" t="s">
        <v>3</v>
      </c>
      <c r="D141" s="122">
        <v>2.0833333333333332E-2</v>
      </c>
      <c r="E141" s="122" t="s">
        <v>423</v>
      </c>
      <c r="F141" s="122" t="b">
        <v>0</v>
      </c>
      <c r="G141" s="20"/>
      <c r="H141" s="43"/>
      <c r="I141" s="47"/>
      <c r="J141" s="35"/>
      <c r="K141" s="36" t="b">
        <v>1</v>
      </c>
      <c r="L141" s="33" t="s">
        <v>232</v>
      </c>
      <c r="M141" s="30">
        <v>42020</v>
      </c>
    </row>
    <row r="142" spans="1:13" s="29" customFormat="1" ht="15" hidden="1" customHeight="1" outlineLevel="2" x14ac:dyDescent="0.25">
      <c r="A142" s="131">
        <v>19570</v>
      </c>
      <c r="B142" s="28" t="s">
        <v>144</v>
      </c>
      <c r="C142" s="41" t="s">
        <v>3</v>
      </c>
      <c r="D142" s="122">
        <v>4.8611111111111112E-3</v>
      </c>
      <c r="E142" s="122" t="s">
        <v>423</v>
      </c>
      <c r="F142" s="122" t="b">
        <v>0</v>
      </c>
      <c r="G142" s="20"/>
      <c r="H142" s="43"/>
      <c r="I142" s="47"/>
      <c r="J142" s="35"/>
      <c r="K142" s="36" t="b">
        <v>1</v>
      </c>
      <c r="L142" s="33" t="s">
        <v>232</v>
      </c>
      <c r="M142" s="30">
        <v>42020</v>
      </c>
    </row>
    <row r="143" spans="1:13" s="29" customFormat="1" ht="15" hidden="1" customHeight="1" outlineLevel="2" x14ac:dyDescent="0.25">
      <c r="A143" s="131">
        <v>21119</v>
      </c>
      <c r="B143" s="28" t="s">
        <v>145</v>
      </c>
      <c r="C143" s="41" t="s">
        <v>3</v>
      </c>
      <c r="D143" s="122">
        <v>5.5555555555555552E-2</v>
      </c>
      <c r="E143" s="122" t="s">
        <v>423</v>
      </c>
      <c r="F143" s="122" t="b">
        <v>0</v>
      </c>
      <c r="G143" s="20"/>
      <c r="H143" s="43"/>
      <c r="I143" s="47"/>
      <c r="J143" s="35"/>
      <c r="K143" s="36" t="b">
        <v>1</v>
      </c>
      <c r="L143" s="33" t="s">
        <v>232</v>
      </c>
      <c r="M143" s="30">
        <v>42020</v>
      </c>
    </row>
    <row r="144" spans="1:13" s="29" customFormat="1" ht="15" hidden="1" customHeight="1" outlineLevel="2" x14ac:dyDescent="0.25">
      <c r="A144" s="131">
        <v>21117</v>
      </c>
      <c r="B144" s="28" t="s">
        <v>146</v>
      </c>
      <c r="C144" s="41" t="s">
        <v>3</v>
      </c>
      <c r="D144" s="122">
        <v>2.4305555555555556E-2</v>
      </c>
      <c r="E144" s="122" t="s">
        <v>423</v>
      </c>
      <c r="F144" s="122" t="b">
        <v>0</v>
      </c>
      <c r="G144" s="20"/>
      <c r="H144" s="43" t="s">
        <v>489</v>
      </c>
      <c r="I144" s="47"/>
      <c r="J144" s="35"/>
      <c r="K144" s="36" t="b">
        <v>1</v>
      </c>
      <c r="L144" s="33" t="s">
        <v>232</v>
      </c>
      <c r="M144" s="30">
        <v>42020</v>
      </c>
    </row>
    <row r="145" spans="1:14" s="29" customFormat="1" ht="15" hidden="1" customHeight="1" outlineLevel="2" x14ac:dyDescent="0.25">
      <c r="A145" s="131">
        <v>19309</v>
      </c>
      <c r="B145" s="28" t="s">
        <v>147</v>
      </c>
      <c r="C145" s="41" t="s">
        <v>3</v>
      </c>
      <c r="D145" s="122">
        <v>2.0833333333333333E-3</v>
      </c>
      <c r="E145" s="122" t="s">
        <v>423</v>
      </c>
      <c r="F145" s="122" t="b">
        <v>0</v>
      </c>
      <c r="G145" s="20"/>
      <c r="H145" s="43" t="s">
        <v>591</v>
      </c>
      <c r="I145" s="47"/>
      <c r="J145" s="35"/>
      <c r="K145" s="36" t="b">
        <v>1</v>
      </c>
      <c r="L145" s="33" t="s">
        <v>232</v>
      </c>
      <c r="M145" s="30">
        <v>42020</v>
      </c>
    </row>
    <row r="146" spans="1:14" s="29" customFormat="1" ht="15" hidden="1" customHeight="1" outlineLevel="2" x14ac:dyDescent="0.25">
      <c r="A146" s="131">
        <v>21127</v>
      </c>
      <c r="B146" s="28" t="s">
        <v>148</v>
      </c>
      <c r="C146" s="41" t="s">
        <v>3</v>
      </c>
      <c r="D146" s="122">
        <v>1.7361111111111112E-2</v>
      </c>
      <c r="E146" s="122" t="s">
        <v>423</v>
      </c>
      <c r="F146" s="122" t="b">
        <v>0</v>
      </c>
      <c r="G146" s="20"/>
      <c r="H146" s="43"/>
      <c r="I146" s="47"/>
      <c r="J146" s="35"/>
      <c r="K146" s="36" t="b">
        <v>1</v>
      </c>
      <c r="L146" s="33" t="s">
        <v>232</v>
      </c>
      <c r="M146" s="30">
        <v>42020</v>
      </c>
    </row>
    <row r="147" spans="1:14" x14ac:dyDescent="0.25">
      <c r="A147" s="11"/>
      <c r="D147" s="7"/>
      <c r="E147" s="7"/>
      <c r="F147" s="8"/>
      <c r="G147" s="6"/>
      <c r="H147" s="9"/>
      <c r="I147" s="9"/>
      <c r="J147" s="10"/>
      <c r="K147" s="8"/>
      <c r="L147" s="8"/>
    </row>
    <row r="148" spans="1:14" ht="35.25" customHeight="1" x14ac:dyDescent="0.25">
      <c r="B148" s="51" t="s">
        <v>609</v>
      </c>
      <c r="C148" s="271"/>
      <c r="D148" s="271"/>
      <c r="E148" s="271"/>
      <c r="F148" s="272"/>
      <c r="G148" s="272"/>
      <c r="H148" s="272"/>
      <c r="I148" s="272"/>
      <c r="J148" s="272"/>
      <c r="K148" s="272"/>
      <c r="L148" s="272"/>
      <c r="M148" s="272"/>
      <c r="N148" s="272"/>
    </row>
    <row r="149" spans="1:14" s="25" customFormat="1" ht="30" collapsed="1" x14ac:dyDescent="0.25">
      <c r="A149" s="21" t="s">
        <v>0</v>
      </c>
      <c r="B149" s="21" t="s">
        <v>1</v>
      </c>
      <c r="C149" s="21" t="s">
        <v>2</v>
      </c>
      <c r="D149" s="21" t="s">
        <v>420</v>
      </c>
      <c r="E149" s="21" t="s">
        <v>556</v>
      </c>
      <c r="F149" s="21" t="s">
        <v>507</v>
      </c>
      <c r="G149" s="21" t="s">
        <v>4</v>
      </c>
      <c r="H149" s="21" t="s">
        <v>31</v>
      </c>
      <c r="I149" s="22" t="s">
        <v>511</v>
      </c>
      <c r="J149" s="23" t="s">
        <v>510</v>
      </c>
      <c r="K149" s="24" t="s">
        <v>508</v>
      </c>
      <c r="L149" s="22" t="s">
        <v>509</v>
      </c>
      <c r="M149" s="22" t="s">
        <v>554</v>
      </c>
      <c r="N149" s="54"/>
    </row>
    <row r="150" spans="1:14" hidden="1" outlineLevel="1" x14ac:dyDescent="0.25">
      <c r="A150" s="113"/>
      <c r="B150" s="56" t="s">
        <v>149</v>
      </c>
      <c r="C150" s="12"/>
      <c r="D150" s="121" t="e">
        <f>SumTestCase(Table_2[Run Time],Testcase_Color,Workflow_Color)</f>
        <v>#VALUE!</v>
      </c>
      <c r="E150" s="121"/>
      <c r="F150" s="121"/>
      <c r="G150" s="12"/>
      <c r="H150" s="13"/>
      <c r="I150" s="12"/>
      <c r="J150" s="12"/>
      <c r="K150" s="12"/>
      <c r="L150" s="12"/>
      <c r="M150" s="12"/>
    </row>
    <row r="151" spans="1:14" ht="15" hidden="1" customHeight="1" outlineLevel="2" x14ac:dyDescent="0.25">
      <c r="A151" s="172">
        <v>21275</v>
      </c>
      <c r="B151" s="61" t="s">
        <v>150</v>
      </c>
      <c r="C151" s="60" t="s">
        <v>3</v>
      </c>
      <c r="D151" s="122">
        <v>1.8402777777777778E-2</v>
      </c>
      <c r="E151" s="122" t="s">
        <v>422</v>
      </c>
      <c r="F151" s="122" t="b">
        <v>1</v>
      </c>
      <c r="G151" s="61"/>
      <c r="H151" s="62"/>
      <c r="I151" s="42"/>
      <c r="J151" s="34"/>
      <c r="K151" s="35" t="b">
        <v>1</v>
      </c>
      <c r="L151" s="33" t="s">
        <v>232</v>
      </c>
      <c r="M151" s="179">
        <v>42020</v>
      </c>
    </row>
    <row r="152" spans="1:14" ht="15" hidden="1" customHeight="1" outlineLevel="2" x14ac:dyDescent="0.25">
      <c r="A152" s="172">
        <v>21496</v>
      </c>
      <c r="B152" s="61" t="s">
        <v>151</v>
      </c>
      <c r="C152" s="60" t="s">
        <v>3</v>
      </c>
      <c r="D152" s="122">
        <v>2.045138888888889E-2</v>
      </c>
      <c r="E152" s="122" t="s">
        <v>422</v>
      </c>
      <c r="F152" s="122" t="b">
        <v>1</v>
      </c>
      <c r="G152" s="61"/>
      <c r="H152" s="62"/>
      <c r="I152" s="42"/>
      <c r="J152" s="34"/>
      <c r="K152" s="35" t="b">
        <v>1</v>
      </c>
      <c r="L152" s="33" t="s">
        <v>232</v>
      </c>
      <c r="M152" s="179">
        <v>42020</v>
      </c>
    </row>
    <row r="153" spans="1:14" ht="15" hidden="1" customHeight="1" outlineLevel="2" x14ac:dyDescent="0.25">
      <c r="A153" s="172">
        <v>21494</v>
      </c>
      <c r="B153" s="61" t="s">
        <v>152</v>
      </c>
      <c r="C153" s="60" t="s">
        <v>3</v>
      </c>
      <c r="D153" s="122">
        <v>1.8148148148148146E-2</v>
      </c>
      <c r="E153" s="122" t="s">
        <v>422</v>
      </c>
      <c r="F153" s="122" t="b">
        <v>1</v>
      </c>
      <c r="G153" s="61"/>
      <c r="H153" s="62"/>
      <c r="I153" s="42"/>
      <c r="J153" s="34"/>
      <c r="K153" s="35" t="b">
        <v>1</v>
      </c>
      <c r="L153" s="33" t="s">
        <v>232</v>
      </c>
      <c r="M153" s="179">
        <v>42020</v>
      </c>
    </row>
    <row r="154" spans="1:14" ht="25.5" hidden="1" customHeight="1" outlineLevel="2" x14ac:dyDescent="0.2">
      <c r="A154" s="172">
        <v>21497</v>
      </c>
      <c r="B154" s="61" t="s">
        <v>153</v>
      </c>
      <c r="C154" s="60" t="s">
        <v>3</v>
      </c>
      <c r="D154" s="122">
        <v>2.0069444444444442E-2</v>
      </c>
      <c r="E154" s="122" t="s">
        <v>422</v>
      </c>
      <c r="F154" s="122" t="b">
        <v>1</v>
      </c>
      <c r="G154" s="61"/>
      <c r="H154" s="52" t="s">
        <v>438</v>
      </c>
      <c r="I154" s="42"/>
      <c r="J154" s="34"/>
      <c r="K154" s="35" t="b">
        <v>1</v>
      </c>
      <c r="L154" s="33" t="s">
        <v>232</v>
      </c>
      <c r="M154" s="179">
        <v>42020</v>
      </c>
    </row>
    <row r="155" spans="1:14" ht="15" hidden="1" customHeight="1" outlineLevel="2" x14ac:dyDescent="0.25">
      <c r="A155" s="172">
        <v>21274</v>
      </c>
      <c r="B155" s="15" t="s">
        <v>154</v>
      </c>
      <c r="C155" s="60" t="s">
        <v>3</v>
      </c>
      <c r="D155" s="122">
        <v>6.9560185185185185E-3</v>
      </c>
      <c r="E155" s="122" t="s">
        <v>422</v>
      </c>
      <c r="F155" s="122" t="b">
        <v>1</v>
      </c>
      <c r="G155" s="61"/>
      <c r="H155" s="62"/>
      <c r="I155" s="42"/>
      <c r="J155" s="34"/>
      <c r="K155" s="35" t="b">
        <v>1</v>
      </c>
      <c r="L155" s="33" t="s">
        <v>232</v>
      </c>
      <c r="M155" s="179">
        <v>42020</v>
      </c>
    </row>
    <row r="156" spans="1:14" hidden="1" outlineLevel="1" x14ac:dyDescent="0.25">
      <c r="A156" s="113"/>
      <c r="B156" s="12" t="s">
        <v>155</v>
      </c>
      <c r="C156" s="12"/>
      <c r="D156" s="121" t="e">
        <f>SumTestCase(Table_2[Run Time],Testcase_Color,Workflow_Color)</f>
        <v>#VALUE!</v>
      </c>
      <c r="E156" s="121"/>
      <c r="F156" s="121"/>
      <c r="G156" s="12"/>
      <c r="H156" s="12"/>
      <c r="I156" s="12"/>
      <c r="J156" s="12"/>
      <c r="K156" s="12"/>
      <c r="L156" s="12"/>
      <c r="M156" s="12"/>
    </row>
    <row r="157" spans="1:14" ht="15" hidden="1" customHeight="1" outlineLevel="2" x14ac:dyDescent="0.25">
      <c r="A157" s="172">
        <v>21267</v>
      </c>
      <c r="B157" s="61" t="s">
        <v>156</v>
      </c>
      <c r="C157" s="60" t="s">
        <v>3</v>
      </c>
      <c r="D157" s="122">
        <v>7.5462962962962966E-3</v>
      </c>
      <c r="E157" s="122" t="s">
        <v>422</v>
      </c>
      <c r="F157" s="122" t="b">
        <v>1</v>
      </c>
      <c r="G157" s="61"/>
      <c r="H157" s="63"/>
      <c r="I157" s="42"/>
      <c r="J157" s="34"/>
      <c r="K157" s="35" t="b">
        <v>1</v>
      </c>
      <c r="L157" s="33" t="s">
        <v>232</v>
      </c>
      <c r="M157" s="179">
        <v>42020</v>
      </c>
    </row>
    <row r="158" spans="1:14" ht="15" hidden="1" customHeight="1" outlineLevel="2" x14ac:dyDescent="0.25">
      <c r="A158" s="172">
        <v>21268</v>
      </c>
      <c r="B158" s="61" t="s">
        <v>157</v>
      </c>
      <c r="C158" s="60" t="s">
        <v>3</v>
      </c>
      <c r="D158" s="122">
        <v>8.3796296296296292E-3</v>
      </c>
      <c r="E158" s="122" t="s">
        <v>422</v>
      </c>
      <c r="F158" s="122" t="b">
        <v>1</v>
      </c>
      <c r="G158" s="61"/>
      <c r="H158" s="64"/>
      <c r="I158" s="42"/>
      <c r="J158" s="34"/>
      <c r="K158" s="35" t="b">
        <v>1</v>
      </c>
      <c r="L158" s="33" t="s">
        <v>232</v>
      </c>
      <c r="M158" s="179">
        <v>42020</v>
      </c>
    </row>
    <row r="159" spans="1:14" ht="25.5" hidden="1" customHeight="1" outlineLevel="2" x14ac:dyDescent="0.25">
      <c r="A159" s="172">
        <v>21270</v>
      </c>
      <c r="B159" s="15" t="s">
        <v>158</v>
      </c>
      <c r="C159" s="60" t="s">
        <v>3</v>
      </c>
      <c r="D159" s="122">
        <v>1.3379629629629628E-2</v>
      </c>
      <c r="E159" s="122" t="s">
        <v>422</v>
      </c>
      <c r="F159" s="122" t="b">
        <v>1</v>
      </c>
      <c r="G159" s="61"/>
      <c r="H159" s="149" t="s">
        <v>470</v>
      </c>
      <c r="I159" s="42"/>
      <c r="J159" s="34"/>
      <c r="K159" s="35" t="b">
        <v>1</v>
      </c>
      <c r="L159" s="33" t="s">
        <v>232</v>
      </c>
      <c r="M159" s="179">
        <v>42020</v>
      </c>
    </row>
    <row r="160" spans="1:14" s="57" customFormat="1" ht="12.75" hidden="1" outlineLevel="1" x14ac:dyDescent="0.25">
      <c r="A160" s="113"/>
      <c r="B160" s="12" t="s">
        <v>159</v>
      </c>
      <c r="C160" s="12"/>
      <c r="D160" s="121" t="e">
        <f>SumTestCase(Table_2[Run Time],Testcase_Color,Workflow_Color)</f>
        <v>#VALUE!</v>
      </c>
      <c r="E160" s="121"/>
      <c r="F160" s="121"/>
      <c r="G160" s="12"/>
      <c r="H160" s="12"/>
      <c r="I160" s="12"/>
      <c r="J160" s="12"/>
      <c r="K160" s="12"/>
      <c r="L160" s="12"/>
      <c r="M160" s="12"/>
    </row>
    <row r="161" spans="1:13" s="58" customFormat="1" ht="25.5" hidden="1" customHeight="1" outlineLevel="2" x14ac:dyDescent="0.2">
      <c r="A161" s="172">
        <v>21492</v>
      </c>
      <c r="B161" s="15" t="s">
        <v>160</v>
      </c>
      <c r="C161" s="60" t="s">
        <v>3</v>
      </c>
      <c r="D161" s="122">
        <v>1.0416666666666666E-2</v>
      </c>
      <c r="E161" s="122" t="s">
        <v>422</v>
      </c>
      <c r="F161" s="122" t="b">
        <v>1</v>
      </c>
      <c r="G161" s="61"/>
      <c r="H161" s="142" t="s">
        <v>466</v>
      </c>
      <c r="I161" s="42"/>
      <c r="J161" s="34"/>
      <c r="K161" s="35" t="b">
        <v>1</v>
      </c>
      <c r="L161" s="33" t="s">
        <v>232</v>
      </c>
      <c r="M161" s="179">
        <v>42020</v>
      </c>
    </row>
    <row r="162" spans="1:13" s="58" customFormat="1" ht="15" hidden="1" customHeight="1" outlineLevel="2" x14ac:dyDescent="0.25">
      <c r="A162" s="172">
        <v>21272</v>
      </c>
      <c r="B162" s="15" t="s">
        <v>161</v>
      </c>
      <c r="C162" s="60" t="s">
        <v>3</v>
      </c>
      <c r="D162" s="122">
        <v>2.388888888888889E-2</v>
      </c>
      <c r="E162" s="122" t="s">
        <v>422</v>
      </c>
      <c r="F162" s="122" t="b">
        <v>1</v>
      </c>
      <c r="G162" s="61"/>
      <c r="H162" s="62"/>
      <c r="I162" s="42"/>
      <c r="J162" s="34"/>
      <c r="K162" s="35" t="b">
        <v>1</v>
      </c>
      <c r="L162" s="33" t="s">
        <v>232</v>
      </c>
      <c r="M162" s="179">
        <v>42020</v>
      </c>
    </row>
    <row r="163" spans="1:13" s="57" customFormat="1" ht="12.75" hidden="1" outlineLevel="1" x14ac:dyDescent="0.25">
      <c r="A163" s="113"/>
      <c r="B163" s="12" t="s">
        <v>162</v>
      </c>
      <c r="C163" s="12"/>
      <c r="D163" s="121" t="e">
        <f>SumTestCase(Table_2[Run Time],Testcase_Color,Workflow_Color)</f>
        <v>#VALUE!</v>
      </c>
      <c r="E163" s="121"/>
      <c r="F163" s="121"/>
      <c r="G163" s="12"/>
      <c r="H163" s="12"/>
      <c r="I163" s="12"/>
      <c r="J163" s="12"/>
      <c r="K163" s="12"/>
      <c r="L163" s="12"/>
      <c r="M163" s="12"/>
    </row>
    <row r="164" spans="1:13" s="27" customFormat="1" ht="15" hidden="1" customHeight="1" outlineLevel="2" x14ac:dyDescent="0.2">
      <c r="A164" s="172">
        <v>21276</v>
      </c>
      <c r="B164" s="26" t="s">
        <v>163</v>
      </c>
      <c r="C164" s="60" t="s">
        <v>3</v>
      </c>
      <c r="D164" s="122">
        <v>7.4074074074074068E-3</v>
      </c>
      <c r="E164" s="122" t="s">
        <v>422</v>
      </c>
      <c r="F164" s="122" t="b">
        <v>1</v>
      </c>
      <c r="G164" s="59"/>
      <c r="H164" s="53"/>
      <c r="I164" s="42"/>
      <c r="J164" s="34"/>
      <c r="K164" s="35" t="b">
        <v>1</v>
      </c>
      <c r="L164" s="33" t="s">
        <v>232</v>
      </c>
      <c r="M164" s="179">
        <v>42020</v>
      </c>
    </row>
    <row r="165" spans="1:13" s="27" customFormat="1" ht="15" hidden="1" customHeight="1" outlineLevel="2" x14ac:dyDescent="0.2">
      <c r="A165" s="172">
        <v>21277</v>
      </c>
      <c r="B165" s="26" t="s">
        <v>164</v>
      </c>
      <c r="C165" s="60" t="s">
        <v>3</v>
      </c>
      <c r="D165" s="122">
        <v>1.2546296296296297E-2</v>
      </c>
      <c r="E165" s="122" t="s">
        <v>422</v>
      </c>
      <c r="F165" s="122" t="b">
        <v>1</v>
      </c>
      <c r="G165" s="59"/>
      <c r="H165" s="65"/>
      <c r="I165" s="42"/>
      <c r="J165" s="34"/>
      <c r="K165" s="35" t="b">
        <v>1</v>
      </c>
      <c r="L165" s="33" t="s">
        <v>232</v>
      </c>
      <c r="M165" s="179">
        <v>42020</v>
      </c>
    </row>
    <row r="166" spans="1:13" s="27" customFormat="1" ht="51" hidden="1" customHeight="1" outlineLevel="2" x14ac:dyDescent="0.2">
      <c r="A166" s="172">
        <v>21498</v>
      </c>
      <c r="B166" s="26" t="s">
        <v>165</v>
      </c>
      <c r="C166" s="60" t="s">
        <v>3</v>
      </c>
      <c r="D166" s="122">
        <v>1.1111111111111112E-2</v>
      </c>
      <c r="E166" s="122" t="s">
        <v>422</v>
      </c>
      <c r="F166" s="122" t="b">
        <v>1</v>
      </c>
      <c r="G166" s="59"/>
      <c r="H166" s="149" t="s">
        <v>506</v>
      </c>
      <c r="I166" s="42"/>
      <c r="J166" s="34"/>
      <c r="K166" s="35" t="b">
        <v>1</v>
      </c>
      <c r="L166" s="33" t="s">
        <v>232</v>
      </c>
      <c r="M166" s="179">
        <v>42020</v>
      </c>
    </row>
    <row r="167" spans="1:13" s="27" customFormat="1" ht="15" hidden="1" customHeight="1" outlineLevel="2" x14ac:dyDescent="0.2">
      <c r="A167" s="172">
        <v>21511</v>
      </c>
      <c r="B167" s="26" t="s">
        <v>166</v>
      </c>
      <c r="C167" s="60" t="s">
        <v>3</v>
      </c>
      <c r="D167" s="122">
        <v>8.4375000000000006E-3</v>
      </c>
      <c r="E167" s="122" t="s">
        <v>422</v>
      </c>
      <c r="F167" s="122" t="b">
        <v>1</v>
      </c>
      <c r="G167" s="59"/>
      <c r="H167" s="66"/>
      <c r="I167" s="42"/>
      <c r="J167" s="34"/>
      <c r="K167" s="35" t="b">
        <v>1</v>
      </c>
      <c r="L167" s="33" t="s">
        <v>232</v>
      </c>
      <c r="M167" s="179">
        <v>42020</v>
      </c>
    </row>
    <row r="168" spans="1:13" s="57" customFormat="1" ht="12.75" hidden="1" outlineLevel="1" x14ac:dyDescent="0.25">
      <c r="A168" s="113"/>
      <c r="B168" s="55" t="s">
        <v>167</v>
      </c>
      <c r="C168" s="55"/>
      <c r="D168" s="121" t="e">
        <f>SumTestCase(Table_2[Run Time],Testcase_Color,Workflow_Color)</f>
        <v>#VALUE!</v>
      </c>
      <c r="E168" s="161"/>
      <c r="F168" s="161"/>
      <c r="G168" s="55"/>
      <c r="H168" s="55"/>
      <c r="I168" s="12"/>
      <c r="J168" s="12"/>
      <c r="K168" s="12"/>
      <c r="L168" s="12"/>
      <c r="M168" s="12"/>
    </row>
    <row r="169" spans="1:13" s="27" customFormat="1" ht="25.5" hidden="1" customHeight="1" outlineLevel="2" x14ac:dyDescent="0.2">
      <c r="A169" s="172">
        <v>21273</v>
      </c>
      <c r="B169" s="26" t="s">
        <v>168</v>
      </c>
      <c r="C169" s="60" t="s">
        <v>3</v>
      </c>
      <c r="D169" s="122">
        <v>2.8078703703703703E-2</v>
      </c>
      <c r="E169" s="122" t="s">
        <v>422</v>
      </c>
      <c r="F169" s="122" t="b">
        <v>1</v>
      </c>
      <c r="G169" s="59"/>
      <c r="H169" s="146" t="s">
        <v>439</v>
      </c>
      <c r="I169" s="42"/>
      <c r="J169" s="34"/>
      <c r="K169" s="35" t="b">
        <v>1</v>
      </c>
      <c r="L169" s="33" t="s">
        <v>232</v>
      </c>
      <c r="M169" s="179">
        <v>42020</v>
      </c>
    </row>
    <row r="170" spans="1:13" s="27" customFormat="1" ht="51" hidden="1" customHeight="1" outlineLevel="2" x14ac:dyDescent="0.2">
      <c r="A170" s="172">
        <v>21269</v>
      </c>
      <c r="B170" s="26" t="s">
        <v>169</v>
      </c>
      <c r="C170" s="60" t="s">
        <v>3</v>
      </c>
      <c r="D170" s="122">
        <v>7.3263888888888892E-3</v>
      </c>
      <c r="E170" s="122" t="s">
        <v>422</v>
      </c>
      <c r="F170" s="122" t="b">
        <v>1</v>
      </c>
      <c r="G170" s="59"/>
      <c r="H170" s="135" t="s">
        <v>471</v>
      </c>
      <c r="I170" s="42"/>
      <c r="J170" s="34"/>
      <c r="K170" s="35" t="b">
        <v>1</v>
      </c>
      <c r="L170" s="33" t="s">
        <v>232</v>
      </c>
      <c r="M170" s="179">
        <v>42020</v>
      </c>
    </row>
    <row r="171" spans="1:13" s="27" customFormat="1" ht="25.5" hidden="1" customHeight="1" outlineLevel="2" x14ac:dyDescent="0.2">
      <c r="A171" s="172">
        <v>21495</v>
      </c>
      <c r="B171" s="26" t="s">
        <v>170</v>
      </c>
      <c r="C171" s="60" t="s">
        <v>3</v>
      </c>
      <c r="D171" s="122">
        <v>9.7916666666666655E-3</v>
      </c>
      <c r="E171" s="122" t="s">
        <v>422</v>
      </c>
      <c r="F171" s="122" t="b">
        <v>1</v>
      </c>
      <c r="G171" s="59"/>
      <c r="H171" s="142" t="s">
        <v>466</v>
      </c>
      <c r="I171" s="42"/>
      <c r="J171" s="34"/>
      <c r="K171" s="35" t="b">
        <v>1</v>
      </c>
      <c r="L171" s="33" t="s">
        <v>232</v>
      </c>
      <c r="M171" s="179">
        <v>42020</v>
      </c>
    </row>
    <row r="172" spans="1:13" s="57" customFormat="1" ht="12.75" hidden="1" outlineLevel="1" x14ac:dyDescent="0.25">
      <c r="A172" s="113"/>
      <c r="B172" s="12" t="s">
        <v>171</v>
      </c>
      <c r="C172" s="12"/>
      <c r="D172" s="121" t="e">
        <f>SumTestCase(Table_2[Run Time],Testcase_Color,Workflow_Color)</f>
        <v>#VALUE!</v>
      </c>
      <c r="E172" s="121"/>
      <c r="F172" s="121"/>
      <c r="G172" s="12"/>
      <c r="H172" s="12"/>
      <c r="I172" s="12"/>
      <c r="J172" s="12"/>
      <c r="K172" s="12"/>
      <c r="L172" s="12"/>
      <c r="M172" s="12"/>
    </row>
    <row r="173" spans="1:13" s="68" customFormat="1" ht="51" hidden="1" customHeight="1" outlineLevel="2" x14ac:dyDescent="0.2">
      <c r="A173" s="172">
        <v>21271</v>
      </c>
      <c r="B173" s="67" t="s">
        <v>172</v>
      </c>
      <c r="C173" s="60" t="s">
        <v>3</v>
      </c>
      <c r="D173" s="122">
        <v>2.9930555555555557E-2</v>
      </c>
      <c r="E173" s="122" t="s">
        <v>422</v>
      </c>
      <c r="F173" s="122" t="b">
        <v>1</v>
      </c>
      <c r="G173" s="59"/>
      <c r="H173" s="150" t="s">
        <v>472</v>
      </c>
      <c r="I173" s="42"/>
      <c r="J173" s="34"/>
      <c r="K173" s="35" t="b">
        <v>1</v>
      </c>
      <c r="L173" s="33" t="s">
        <v>232</v>
      </c>
      <c r="M173" s="179">
        <v>42020</v>
      </c>
    </row>
    <row r="174" spans="1:13" s="50" customFormat="1" ht="51" hidden="1" customHeight="1" outlineLevel="2" x14ac:dyDescent="0.2">
      <c r="A174" s="172">
        <v>19338</v>
      </c>
      <c r="B174" s="26" t="s">
        <v>173</v>
      </c>
      <c r="C174" s="60" t="s">
        <v>3</v>
      </c>
      <c r="D174" s="122">
        <v>2.5405092592592594E-2</v>
      </c>
      <c r="E174" s="122" t="s">
        <v>422</v>
      </c>
      <c r="F174" s="122" t="b">
        <v>1</v>
      </c>
      <c r="G174" s="52"/>
      <c r="H174" s="148" t="s">
        <v>467</v>
      </c>
      <c r="I174" s="42"/>
      <c r="J174" s="34"/>
      <c r="K174" s="35" t="b">
        <v>1</v>
      </c>
      <c r="L174" s="33" t="s">
        <v>232</v>
      </c>
      <c r="M174" s="179">
        <v>42020</v>
      </c>
    </row>
    <row r="175" spans="1:13" s="57" customFormat="1" ht="12.75" hidden="1" outlineLevel="1" x14ac:dyDescent="0.25">
      <c r="A175" s="113"/>
      <c r="B175" s="55" t="s">
        <v>174</v>
      </c>
      <c r="C175" s="55"/>
      <c r="D175" s="121" t="e">
        <f>SumTestCase(Table_2[Run Time],Testcase_Color,Workflow_Color)</f>
        <v>#VALUE!</v>
      </c>
      <c r="E175" s="161"/>
      <c r="F175" s="161"/>
      <c r="G175" s="55"/>
      <c r="H175" s="55"/>
      <c r="I175" s="12"/>
      <c r="J175" s="12"/>
      <c r="K175" s="12"/>
      <c r="L175" s="12"/>
      <c r="M175" s="12"/>
    </row>
    <row r="176" spans="1:13" s="27" customFormat="1" ht="15" hidden="1" customHeight="1" outlineLevel="2" x14ac:dyDescent="0.2">
      <c r="A176" s="172">
        <v>19339</v>
      </c>
      <c r="B176" s="15" t="s">
        <v>175</v>
      </c>
      <c r="C176" s="19" t="s">
        <v>3</v>
      </c>
      <c r="D176" s="122">
        <v>5.0231481481481481E-2</v>
      </c>
      <c r="E176" s="122" t="s">
        <v>422</v>
      </c>
      <c r="F176" s="122" t="b">
        <v>1</v>
      </c>
      <c r="G176" s="52"/>
      <c r="H176" s="52"/>
      <c r="I176" s="42"/>
      <c r="J176" s="34"/>
      <c r="K176" s="35" t="b">
        <v>1</v>
      </c>
      <c r="L176" s="33" t="s">
        <v>232</v>
      </c>
      <c r="M176" s="179">
        <v>42020</v>
      </c>
    </row>
    <row r="177" spans="1:13" s="68" customFormat="1" ht="89.25" hidden="1" outlineLevel="2" x14ac:dyDescent="0.2">
      <c r="A177" s="172">
        <v>33967</v>
      </c>
      <c r="B177" s="53" t="s">
        <v>176</v>
      </c>
      <c r="C177" s="19" t="s">
        <v>3</v>
      </c>
      <c r="D177" s="122">
        <v>0.18528935185185183</v>
      </c>
      <c r="E177" s="122" t="s">
        <v>422</v>
      </c>
      <c r="F177" s="122" t="b">
        <v>1</v>
      </c>
      <c r="G177" s="59"/>
      <c r="H177" s="104" t="s">
        <v>558</v>
      </c>
      <c r="I177" s="42"/>
      <c r="J177" s="34"/>
      <c r="K177" s="35" t="b">
        <v>1</v>
      </c>
      <c r="L177" s="33" t="s">
        <v>232</v>
      </c>
      <c r="M177" s="179">
        <v>42020</v>
      </c>
    </row>
    <row r="178" spans="1:13" s="68" customFormat="1" ht="12.75" hidden="1" outlineLevel="1" x14ac:dyDescent="0.2">
      <c r="A178" s="113"/>
      <c r="B178" s="69" t="s">
        <v>177</v>
      </c>
      <c r="C178" s="12"/>
      <c r="D178" s="121" t="e">
        <f>SumTestCase(Table_2[Run Time],Testcase_Color,Workflow_Color)</f>
        <v>#VALUE!</v>
      </c>
      <c r="E178" s="121"/>
      <c r="F178" s="121"/>
      <c r="G178" s="12"/>
      <c r="H178" s="12"/>
      <c r="I178" s="12"/>
      <c r="J178" s="12"/>
      <c r="K178" s="12"/>
      <c r="L178" s="12"/>
      <c r="M178" s="12"/>
    </row>
    <row r="179" spans="1:13" s="68" customFormat="1" ht="15" hidden="1" customHeight="1" outlineLevel="2" x14ac:dyDescent="0.2">
      <c r="A179" s="172">
        <v>21571</v>
      </c>
      <c r="B179" s="70" t="s">
        <v>178</v>
      </c>
      <c r="C179" s="60" t="s">
        <v>3</v>
      </c>
      <c r="D179" s="122">
        <v>1.4421296296296295E-2</v>
      </c>
      <c r="E179" s="122" t="s">
        <v>422</v>
      </c>
      <c r="F179" s="122" t="b">
        <v>0</v>
      </c>
      <c r="G179" s="71"/>
      <c r="H179" s="52"/>
      <c r="I179" s="42"/>
      <c r="J179" s="34"/>
      <c r="K179" s="35" t="b">
        <v>1</v>
      </c>
      <c r="L179" s="33" t="s">
        <v>232</v>
      </c>
      <c r="M179" s="179">
        <v>42020</v>
      </c>
    </row>
    <row r="180" spans="1:13" s="68" customFormat="1" ht="15" hidden="1" customHeight="1" outlineLevel="2" x14ac:dyDescent="0.2">
      <c r="A180" s="172">
        <v>21572</v>
      </c>
      <c r="B180" s="70" t="s">
        <v>179</v>
      </c>
      <c r="C180" s="60" t="s">
        <v>3</v>
      </c>
      <c r="D180" s="122">
        <v>1.2581018518518519E-2</v>
      </c>
      <c r="E180" s="122" t="s">
        <v>422</v>
      </c>
      <c r="F180" s="122" t="b">
        <v>0</v>
      </c>
      <c r="G180" s="71"/>
      <c r="H180" s="52"/>
      <c r="I180" s="42"/>
      <c r="J180" s="34"/>
      <c r="K180" s="35" t="b">
        <v>1</v>
      </c>
      <c r="L180" s="33" t="s">
        <v>232</v>
      </c>
      <c r="M180" s="179">
        <v>42020</v>
      </c>
    </row>
    <row r="181" spans="1:13" s="57" customFormat="1" ht="12.75" hidden="1" outlineLevel="1" x14ac:dyDescent="0.25">
      <c r="A181" s="113"/>
      <c r="B181" s="69" t="s">
        <v>180</v>
      </c>
      <c r="C181" s="12"/>
      <c r="D181" s="121" t="e">
        <f>SumTestCase(Table_2[Run Time],Testcase_Color,Workflow_Color)</f>
        <v>#VALUE!</v>
      </c>
      <c r="E181" s="121"/>
      <c r="F181" s="121"/>
      <c r="G181" s="12"/>
      <c r="H181" s="12"/>
      <c r="I181" s="12"/>
      <c r="J181" s="12"/>
      <c r="K181" s="12"/>
      <c r="L181" s="12"/>
      <c r="M181" s="12"/>
    </row>
    <row r="182" spans="1:13" s="68" customFormat="1" ht="15" hidden="1" customHeight="1" outlineLevel="2" x14ac:dyDescent="0.2">
      <c r="A182" s="172">
        <v>21551</v>
      </c>
      <c r="B182" s="70" t="s">
        <v>181</v>
      </c>
      <c r="C182" s="60" t="s">
        <v>3</v>
      </c>
      <c r="D182" s="122">
        <v>1.1111111111111112E-2</v>
      </c>
      <c r="E182" s="122" t="s">
        <v>422</v>
      </c>
      <c r="F182" s="122" t="b">
        <v>0</v>
      </c>
      <c r="G182" s="71"/>
      <c r="H182" s="52"/>
      <c r="I182" s="42"/>
      <c r="J182" s="34"/>
      <c r="K182" s="35" t="b">
        <v>1</v>
      </c>
      <c r="L182" s="33" t="s">
        <v>232</v>
      </c>
      <c r="M182" s="179">
        <v>42020</v>
      </c>
    </row>
    <row r="183" spans="1:13" s="68" customFormat="1" ht="15" hidden="1" customHeight="1" outlineLevel="2" x14ac:dyDescent="0.2">
      <c r="A183" s="172">
        <v>21552</v>
      </c>
      <c r="B183" s="70" t="s">
        <v>182</v>
      </c>
      <c r="C183" s="60" t="s">
        <v>3</v>
      </c>
      <c r="D183" s="122">
        <v>1.068287037037037E-2</v>
      </c>
      <c r="E183" s="122" t="s">
        <v>422</v>
      </c>
      <c r="F183" s="122" t="b">
        <v>0</v>
      </c>
      <c r="G183" s="71"/>
      <c r="H183" s="52"/>
      <c r="I183" s="42"/>
      <c r="J183" s="34"/>
      <c r="K183" s="35" t="b">
        <v>1</v>
      </c>
      <c r="L183" s="33" t="s">
        <v>232</v>
      </c>
      <c r="M183" s="179">
        <v>42020</v>
      </c>
    </row>
    <row r="184" spans="1:13" s="57" customFormat="1" ht="12.75" hidden="1" outlineLevel="1" x14ac:dyDescent="0.25">
      <c r="A184" s="113"/>
      <c r="B184" s="69" t="s">
        <v>183</v>
      </c>
      <c r="C184" s="12"/>
      <c r="D184" s="121" t="e">
        <f>SumTestCase(Table_2[Run Time],Testcase_Color,Workflow_Color)</f>
        <v>#VALUE!</v>
      </c>
      <c r="E184" s="121"/>
      <c r="F184" s="121"/>
      <c r="G184" s="12"/>
      <c r="H184" s="12"/>
      <c r="I184" s="12"/>
      <c r="J184" s="12"/>
      <c r="K184" s="12"/>
      <c r="L184" s="12"/>
      <c r="M184" s="12"/>
    </row>
    <row r="185" spans="1:13" s="68" customFormat="1" ht="25.5" hidden="1" customHeight="1" outlineLevel="2" x14ac:dyDescent="0.2">
      <c r="A185" s="172">
        <v>21561</v>
      </c>
      <c r="B185" s="70" t="s">
        <v>184</v>
      </c>
      <c r="C185" s="60" t="s">
        <v>3</v>
      </c>
      <c r="D185" s="122">
        <v>1.7187499999999998E-2</v>
      </c>
      <c r="E185" s="122" t="s">
        <v>422</v>
      </c>
      <c r="F185" s="122" t="b">
        <v>0</v>
      </c>
      <c r="G185" s="71"/>
      <c r="H185" s="139" t="s">
        <v>468</v>
      </c>
      <c r="I185" s="42"/>
      <c r="J185" s="34"/>
      <c r="K185" s="35" t="b">
        <v>1</v>
      </c>
      <c r="L185" s="33" t="s">
        <v>232</v>
      </c>
      <c r="M185" s="179">
        <v>42020</v>
      </c>
    </row>
    <row r="186" spans="1:13" s="68" customFormat="1" ht="51" hidden="1" customHeight="1" outlineLevel="2" x14ac:dyDescent="0.2">
      <c r="A186" s="172">
        <v>21562</v>
      </c>
      <c r="B186" s="70" t="s">
        <v>185</v>
      </c>
      <c r="C186" s="60" t="s">
        <v>3</v>
      </c>
      <c r="D186" s="122">
        <v>1.8055555555555557E-2</v>
      </c>
      <c r="E186" s="122" t="s">
        <v>422</v>
      </c>
      <c r="F186" s="122" t="b">
        <v>0</v>
      </c>
      <c r="G186" s="71"/>
      <c r="H186" s="49" t="s">
        <v>469</v>
      </c>
      <c r="I186" s="42"/>
      <c r="J186" s="34"/>
      <c r="K186" s="35" t="b">
        <v>1</v>
      </c>
      <c r="L186" s="33" t="s">
        <v>232</v>
      </c>
      <c r="M186" s="179">
        <v>42020</v>
      </c>
    </row>
    <row r="187" spans="1:13" s="68" customFormat="1" ht="12.75" hidden="1" outlineLevel="1" x14ac:dyDescent="0.2">
      <c r="A187" s="113"/>
      <c r="B187" s="69" t="s">
        <v>201</v>
      </c>
      <c r="C187" s="12"/>
      <c r="D187" s="121" t="e">
        <f>SumTestCase(Table_2[Run Time],Testcase_Color,Workflow_Color)</f>
        <v>#VALUE!</v>
      </c>
      <c r="E187" s="121"/>
      <c r="F187" s="121"/>
      <c r="G187" s="12"/>
      <c r="H187" s="12"/>
      <c r="I187" s="12"/>
      <c r="J187" s="12"/>
      <c r="K187" s="12"/>
      <c r="L187" s="12"/>
      <c r="M187" s="12"/>
    </row>
    <row r="188" spans="1:13" s="68" customFormat="1" ht="25.5" hidden="1" customHeight="1" outlineLevel="2" x14ac:dyDescent="0.2">
      <c r="A188" s="172">
        <v>21577</v>
      </c>
      <c r="B188" s="72" t="s">
        <v>202</v>
      </c>
      <c r="C188" s="60" t="s">
        <v>3</v>
      </c>
      <c r="D188" s="122">
        <v>2.4305555555555556E-2</v>
      </c>
      <c r="E188" s="122" t="s">
        <v>422</v>
      </c>
      <c r="F188" s="122" t="b">
        <v>0</v>
      </c>
      <c r="G188" s="73"/>
      <c r="H188" s="52" t="s">
        <v>440</v>
      </c>
      <c r="I188" s="42"/>
      <c r="J188" s="34"/>
      <c r="K188" s="35" t="b">
        <v>1</v>
      </c>
      <c r="L188" s="33" t="s">
        <v>232</v>
      </c>
      <c r="M188" s="179">
        <v>42020</v>
      </c>
    </row>
    <row r="189" spans="1:13" s="68" customFormat="1" ht="25.5" hidden="1" customHeight="1" outlineLevel="2" x14ac:dyDescent="0.2">
      <c r="A189" s="172">
        <v>21591</v>
      </c>
      <c r="B189" s="72" t="s">
        <v>203</v>
      </c>
      <c r="C189" s="60" t="s">
        <v>3</v>
      </c>
      <c r="D189" s="122">
        <v>2.0833333333333332E-2</v>
      </c>
      <c r="E189" s="122" t="s">
        <v>422</v>
      </c>
      <c r="F189" s="122" t="b">
        <v>0</v>
      </c>
      <c r="G189" s="73"/>
      <c r="H189" s="52"/>
      <c r="I189" s="42"/>
      <c r="J189" s="34"/>
      <c r="K189" s="35" t="b">
        <v>1</v>
      </c>
      <c r="L189" s="33" t="s">
        <v>232</v>
      </c>
      <c r="M189" s="179">
        <v>42020</v>
      </c>
    </row>
    <row r="190" spans="1:13" s="68" customFormat="1" ht="76.5" hidden="1" customHeight="1" outlineLevel="2" x14ac:dyDescent="0.2">
      <c r="A190" s="172">
        <v>21578</v>
      </c>
      <c r="B190" s="72" t="s">
        <v>204</v>
      </c>
      <c r="C190" s="60" t="s">
        <v>3</v>
      </c>
      <c r="D190" s="122">
        <v>2.4305555555555556E-2</v>
      </c>
      <c r="E190" s="122" t="s">
        <v>422</v>
      </c>
      <c r="F190" s="122" t="b">
        <v>0</v>
      </c>
      <c r="G190" s="73"/>
      <c r="H190" s="49" t="s">
        <v>441</v>
      </c>
      <c r="I190" s="42"/>
      <c r="J190" s="34"/>
      <c r="K190" s="35" t="b">
        <v>1</v>
      </c>
      <c r="L190" s="33" t="s">
        <v>232</v>
      </c>
      <c r="M190" s="179">
        <v>42020</v>
      </c>
    </row>
    <row r="191" spans="1:13" s="68" customFormat="1" ht="25.5" hidden="1" customHeight="1" outlineLevel="2" x14ac:dyDescent="0.2">
      <c r="A191" s="172">
        <v>21593</v>
      </c>
      <c r="B191" s="72" t="s">
        <v>205</v>
      </c>
      <c r="C191" s="19" t="s">
        <v>3</v>
      </c>
      <c r="D191" s="122">
        <v>2.0833333333333332E-2</v>
      </c>
      <c r="E191" s="122" t="s">
        <v>422</v>
      </c>
      <c r="F191" s="122" t="b">
        <v>0</v>
      </c>
      <c r="G191" s="73"/>
      <c r="H191" s="52" t="s">
        <v>442</v>
      </c>
      <c r="I191" s="42"/>
      <c r="J191" s="34"/>
      <c r="K191" s="35" t="b">
        <v>1</v>
      </c>
      <c r="L191" s="33" t="s">
        <v>232</v>
      </c>
      <c r="M191" s="179">
        <v>42020</v>
      </c>
    </row>
    <row r="192" spans="1:13" s="68" customFormat="1" ht="12.75" hidden="1" outlineLevel="1" x14ac:dyDescent="0.2">
      <c r="A192" s="113"/>
      <c r="B192" s="69" t="s">
        <v>206</v>
      </c>
      <c r="C192" s="12"/>
      <c r="D192" s="121" t="e">
        <f>SumTestCase(Table_2[Run Time],Testcase_Color,Workflow_Color)</f>
        <v>#VALUE!</v>
      </c>
      <c r="E192" s="121"/>
      <c r="F192" s="121"/>
      <c r="G192" s="12"/>
      <c r="H192" s="13"/>
      <c r="I192" s="12"/>
      <c r="J192" s="12"/>
      <c r="K192" s="12"/>
      <c r="L192" s="12"/>
      <c r="M192" s="12"/>
    </row>
    <row r="193" spans="1:13" s="68" customFormat="1" ht="51" hidden="1" customHeight="1" outlineLevel="2" x14ac:dyDescent="0.2">
      <c r="A193" s="172">
        <v>21580</v>
      </c>
      <c r="B193" s="72" t="s">
        <v>207</v>
      </c>
      <c r="C193" s="19" t="s">
        <v>3</v>
      </c>
      <c r="D193" s="122">
        <v>2.0833333333333332E-2</v>
      </c>
      <c r="E193" s="122" t="s">
        <v>422</v>
      </c>
      <c r="F193" s="122" t="b">
        <v>0</v>
      </c>
      <c r="G193" s="73"/>
      <c r="H193" s="49" t="s">
        <v>443</v>
      </c>
      <c r="I193" s="42"/>
      <c r="J193" s="34"/>
      <c r="K193" s="35" t="b">
        <v>1</v>
      </c>
      <c r="L193" s="33" t="s">
        <v>232</v>
      </c>
      <c r="M193" s="179">
        <v>42020</v>
      </c>
    </row>
    <row r="194" spans="1:13" s="68" customFormat="1" ht="25.5" hidden="1" customHeight="1" outlineLevel="2" x14ac:dyDescent="0.2">
      <c r="A194" s="172">
        <v>21592</v>
      </c>
      <c r="B194" s="72" t="s">
        <v>208</v>
      </c>
      <c r="C194" s="19" t="s">
        <v>3</v>
      </c>
      <c r="D194" s="122">
        <v>2.0833333333333332E-2</v>
      </c>
      <c r="E194" s="122" t="s">
        <v>422</v>
      </c>
      <c r="F194" s="122" t="b">
        <v>0</v>
      </c>
      <c r="G194" s="73"/>
      <c r="H194" s="52" t="s">
        <v>438</v>
      </c>
      <c r="I194" s="42"/>
      <c r="J194" s="34"/>
      <c r="K194" s="35" t="b">
        <v>1</v>
      </c>
      <c r="L194" s="33" t="s">
        <v>232</v>
      </c>
      <c r="M194" s="179">
        <v>42020</v>
      </c>
    </row>
    <row r="195" spans="1:13" s="68" customFormat="1" ht="76.5" hidden="1" customHeight="1" outlineLevel="2" x14ac:dyDescent="0.2">
      <c r="A195" s="172">
        <v>21579</v>
      </c>
      <c r="B195" s="72" t="s">
        <v>209</v>
      </c>
      <c r="C195" s="19" t="s">
        <v>3</v>
      </c>
      <c r="D195" s="122">
        <v>2.0833333333333332E-2</v>
      </c>
      <c r="E195" s="122" t="s">
        <v>422</v>
      </c>
      <c r="F195" s="122" t="b">
        <v>0</v>
      </c>
      <c r="G195" s="73"/>
      <c r="H195" s="49" t="s">
        <v>444</v>
      </c>
      <c r="I195" s="42"/>
      <c r="J195" s="34"/>
      <c r="K195" s="35" t="b">
        <v>1</v>
      </c>
      <c r="L195" s="33" t="s">
        <v>232</v>
      </c>
      <c r="M195" s="179">
        <v>42020</v>
      </c>
    </row>
    <row r="196" spans="1:13" s="68" customFormat="1" ht="25.5" hidden="1" customHeight="1" outlineLevel="2" x14ac:dyDescent="0.2">
      <c r="A196" s="172">
        <v>21594</v>
      </c>
      <c r="B196" s="72" t="s">
        <v>210</v>
      </c>
      <c r="C196" s="19" t="s">
        <v>3</v>
      </c>
      <c r="D196" s="122">
        <v>2.0833333333333332E-2</v>
      </c>
      <c r="E196" s="122" t="s">
        <v>422</v>
      </c>
      <c r="F196" s="122" t="b">
        <v>0</v>
      </c>
      <c r="G196" s="73"/>
      <c r="H196" s="49" t="s">
        <v>442</v>
      </c>
      <c r="I196" s="42"/>
      <c r="J196" s="34"/>
      <c r="K196" s="35" t="b">
        <v>1</v>
      </c>
      <c r="L196" s="33" t="s">
        <v>232</v>
      </c>
      <c r="M196" s="179">
        <v>42020</v>
      </c>
    </row>
    <row r="197" spans="1:13" s="68" customFormat="1" ht="12.75" hidden="1" outlineLevel="1" x14ac:dyDescent="0.2">
      <c r="A197" s="113"/>
      <c r="B197" s="69" t="s">
        <v>211</v>
      </c>
      <c r="C197" s="12"/>
      <c r="D197" s="121" t="e">
        <f>SumTestCase(Table_2[Run Time],Testcase_Color,Workflow_Color)</f>
        <v>#VALUE!</v>
      </c>
      <c r="E197" s="121"/>
      <c r="F197" s="121"/>
      <c r="G197" s="12"/>
      <c r="H197" s="13"/>
      <c r="I197" s="12"/>
      <c r="J197" s="12"/>
      <c r="K197" s="12"/>
      <c r="L197" s="12"/>
      <c r="M197" s="12"/>
    </row>
    <row r="198" spans="1:13" s="68" customFormat="1" ht="76.5" hidden="1" customHeight="1" outlineLevel="2" x14ac:dyDescent="0.2">
      <c r="A198" s="172">
        <v>21557</v>
      </c>
      <c r="B198" s="72" t="s">
        <v>212</v>
      </c>
      <c r="C198" s="60" t="s">
        <v>3</v>
      </c>
      <c r="D198" s="122">
        <v>2.4305555555555556E-2</v>
      </c>
      <c r="E198" s="122" t="s">
        <v>422</v>
      </c>
      <c r="F198" s="122" t="b">
        <v>0</v>
      </c>
      <c r="G198" s="160"/>
      <c r="H198" s="49" t="s">
        <v>445</v>
      </c>
      <c r="I198" s="42"/>
      <c r="J198" s="34"/>
      <c r="K198" s="35" t="b">
        <v>1</v>
      </c>
      <c r="L198" s="33" t="s">
        <v>232</v>
      </c>
      <c r="M198" s="179">
        <v>42020</v>
      </c>
    </row>
    <row r="199" spans="1:13" s="68" customFormat="1" ht="51" hidden="1" customHeight="1" outlineLevel="2" x14ac:dyDescent="0.2">
      <c r="A199" s="172">
        <v>21595</v>
      </c>
      <c r="B199" s="74" t="s">
        <v>213</v>
      </c>
      <c r="C199" s="60" t="s">
        <v>3</v>
      </c>
      <c r="D199" s="122">
        <v>2.4305555555555556E-2</v>
      </c>
      <c r="E199" s="122" t="s">
        <v>422</v>
      </c>
      <c r="F199" s="122" t="b">
        <v>0</v>
      </c>
      <c r="G199" s="75"/>
      <c r="H199" s="49" t="s">
        <v>446</v>
      </c>
      <c r="I199" s="42"/>
      <c r="J199" s="34"/>
      <c r="K199" s="35" t="b">
        <v>1</v>
      </c>
      <c r="L199" s="33" t="s">
        <v>232</v>
      </c>
      <c r="M199" s="179">
        <v>42020</v>
      </c>
    </row>
    <row r="200" spans="1:13" s="68" customFormat="1" ht="76.5" hidden="1" customHeight="1" outlineLevel="2" x14ac:dyDescent="0.2">
      <c r="A200" s="172">
        <v>21558</v>
      </c>
      <c r="B200" s="72" t="s">
        <v>214</v>
      </c>
      <c r="C200" s="60" t="s">
        <v>3</v>
      </c>
      <c r="D200" s="122">
        <v>2.4305555555555556E-2</v>
      </c>
      <c r="E200" s="122" t="s">
        <v>422</v>
      </c>
      <c r="F200" s="122" t="b">
        <v>0</v>
      </c>
      <c r="G200" s="71"/>
      <c r="H200" s="49" t="s">
        <v>447</v>
      </c>
      <c r="I200" s="42"/>
      <c r="J200" s="34"/>
      <c r="K200" s="35" t="b">
        <v>1</v>
      </c>
      <c r="L200" s="33" t="s">
        <v>232</v>
      </c>
      <c r="M200" s="179">
        <v>42020</v>
      </c>
    </row>
    <row r="201" spans="1:13" s="68" customFormat="1" ht="51" hidden="1" customHeight="1" outlineLevel="2" x14ac:dyDescent="0.2">
      <c r="A201" s="172">
        <v>21597</v>
      </c>
      <c r="B201" s="72" t="s">
        <v>215</v>
      </c>
      <c r="C201" s="60" t="s">
        <v>3</v>
      </c>
      <c r="D201" s="122">
        <v>2.4305555555555556E-2</v>
      </c>
      <c r="E201" s="122" t="s">
        <v>422</v>
      </c>
      <c r="F201" s="122" t="b">
        <v>0</v>
      </c>
      <c r="G201" s="71"/>
      <c r="H201" s="49" t="s">
        <v>446</v>
      </c>
      <c r="I201" s="42"/>
      <c r="J201" s="34"/>
      <c r="K201" s="35" t="b">
        <v>1</v>
      </c>
      <c r="L201" s="33" t="s">
        <v>232</v>
      </c>
      <c r="M201" s="179">
        <v>42020</v>
      </c>
    </row>
    <row r="202" spans="1:13" s="68" customFormat="1" ht="12.75" hidden="1" outlineLevel="1" x14ac:dyDescent="0.2">
      <c r="A202" s="113"/>
      <c r="B202" s="69" t="s">
        <v>216</v>
      </c>
      <c r="C202" s="12"/>
      <c r="D202" s="121" t="e">
        <f>SumTestCase(Table_2[Run Time],Testcase_Color,Workflow_Color)</f>
        <v>#VALUE!</v>
      </c>
      <c r="E202" s="121"/>
      <c r="F202" s="121"/>
      <c r="G202" s="12"/>
      <c r="H202" s="13"/>
      <c r="I202" s="12"/>
      <c r="J202" s="12"/>
      <c r="K202" s="12"/>
      <c r="L202" s="12"/>
      <c r="M202" s="12"/>
    </row>
    <row r="203" spans="1:13" s="68" customFormat="1" ht="76.5" hidden="1" customHeight="1" outlineLevel="2" x14ac:dyDescent="0.2">
      <c r="A203" s="172">
        <v>21560</v>
      </c>
      <c r="B203" s="72" t="s">
        <v>217</v>
      </c>
      <c r="C203" s="60" t="s">
        <v>3</v>
      </c>
      <c r="D203" s="122">
        <v>2.0833333333333332E-2</v>
      </c>
      <c r="E203" s="122" t="s">
        <v>422</v>
      </c>
      <c r="F203" s="122" t="b">
        <v>0</v>
      </c>
      <c r="G203" s="71"/>
      <c r="H203" s="48" t="s">
        <v>448</v>
      </c>
      <c r="I203" s="42"/>
      <c r="J203" s="34"/>
      <c r="K203" s="35" t="b">
        <v>1</v>
      </c>
      <c r="L203" s="33" t="s">
        <v>232</v>
      </c>
      <c r="M203" s="179">
        <v>42020</v>
      </c>
    </row>
    <row r="204" spans="1:13" s="68" customFormat="1" ht="76.5" hidden="1" customHeight="1" outlineLevel="2" x14ac:dyDescent="0.2">
      <c r="A204" s="172">
        <v>21596</v>
      </c>
      <c r="B204" s="72" t="s">
        <v>218</v>
      </c>
      <c r="C204" s="60" t="s">
        <v>3</v>
      </c>
      <c r="D204" s="122">
        <v>2.0833333333333332E-2</v>
      </c>
      <c r="E204" s="122" t="s">
        <v>422</v>
      </c>
      <c r="F204" s="122" t="b">
        <v>0</v>
      </c>
      <c r="G204" s="71"/>
      <c r="H204" s="48" t="s">
        <v>448</v>
      </c>
      <c r="I204" s="42"/>
      <c r="J204" s="34"/>
      <c r="K204" s="35" t="b">
        <v>1</v>
      </c>
      <c r="L204" s="33" t="s">
        <v>232</v>
      </c>
      <c r="M204" s="179">
        <v>42020</v>
      </c>
    </row>
    <row r="205" spans="1:13" s="68" customFormat="1" ht="102" hidden="1" customHeight="1" outlineLevel="2" x14ac:dyDescent="0.2">
      <c r="A205" s="172">
        <v>21559</v>
      </c>
      <c r="B205" s="72" t="s">
        <v>219</v>
      </c>
      <c r="C205" s="60" t="s">
        <v>3</v>
      </c>
      <c r="D205" s="122">
        <v>2.0833333333333332E-2</v>
      </c>
      <c r="E205" s="122" t="s">
        <v>422</v>
      </c>
      <c r="F205" s="122" t="b">
        <v>0</v>
      </c>
      <c r="G205" s="71"/>
      <c r="H205" s="48" t="s">
        <v>449</v>
      </c>
      <c r="I205" s="42"/>
      <c r="J205" s="34"/>
      <c r="K205" s="35" t="b">
        <v>1</v>
      </c>
      <c r="L205" s="33" t="s">
        <v>232</v>
      </c>
      <c r="M205" s="179">
        <v>42020</v>
      </c>
    </row>
    <row r="206" spans="1:13" s="68" customFormat="1" ht="51" hidden="1" customHeight="1" outlineLevel="2" x14ac:dyDescent="0.2">
      <c r="A206" s="172">
        <v>21598</v>
      </c>
      <c r="B206" s="72" t="s">
        <v>220</v>
      </c>
      <c r="C206" s="19" t="s">
        <v>3</v>
      </c>
      <c r="D206" s="122">
        <v>2.0833333333333332E-2</v>
      </c>
      <c r="E206" s="122" t="s">
        <v>422</v>
      </c>
      <c r="F206" s="122" t="b">
        <v>0</v>
      </c>
      <c r="G206" s="71"/>
      <c r="H206" s="48" t="s">
        <v>450</v>
      </c>
      <c r="I206" s="42"/>
      <c r="J206" s="34"/>
      <c r="K206" s="35" t="b">
        <v>1</v>
      </c>
      <c r="L206" s="33" t="s">
        <v>232</v>
      </c>
      <c r="M206" s="179">
        <v>42020</v>
      </c>
    </row>
    <row r="207" spans="1:13" s="68" customFormat="1" ht="12.75" hidden="1" outlineLevel="1" x14ac:dyDescent="0.2">
      <c r="A207" s="113"/>
      <c r="B207" s="69" t="s">
        <v>221</v>
      </c>
      <c r="C207" s="12"/>
      <c r="D207" s="121" t="e">
        <f>SumTestCase(Table_2[Run Time],Testcase_Color,Workflow_Color)</f>
        <v>#VALUE!</v>
      </c>
      <c r="E207" s="121"/>
      <c r="F207" s="121"/>
      <c r="G207" s="12"/>
      <c r="H207" s="13"/>
      <c r="I207" s="12"/>
      <c r="J207" s="12"/>
      <c r="K207" s="12"/>
      <c r="L207" s="12"/>
      <c r="M207" s="12"/>
    </row>
    <row r="208" spans="1:13" s="68" customFormat="1" ht="102" hidden="1" customHeight="1" outlineLevel="2" x14ac:dyDescent="0.2">
      <c r="A208" s="172">
        <v>21567</v>
      </c>
      <c r="B208" s="72" t="s">
        <v>222</v>
      </c>
      <c r="C208" s="60" t="s">
        <v>3</v>
      </c>
      <c r="D208" s="122">
        <v>3.4722222222222224E-2</v>
      </c>
      <c r="E208" s="122" t="s">
        <v>422</v>
      </c>
      <c r="F208" s="122" t="b">
        <v>0</v>
      </c>
      <c r="G208" s="71"/>
      <c r="H208" s="147" t="s">
        <v>451</v>
      </c>
      <c r="I208" s="42"/>
      <c r="J208" s="34"/>
      <c r="K208" s="35" t="b">
        <v>1</v>
      </c>
      <c r="L208" s="33" t="s">
        <v>232</v>
      </c>
      <c r="M208" s="179">
        <v>42020</v>
      </c>
    </row>
    <row r="209" spans="1:13" s="68" customFormat="1" ht="102" hidden="1" customHeight="1" outlineLevel="2" x14ac:dyDescent="0.2">
      <c r="A209" s="172">
        <v>21599</v>
      </c>
      <c r="B209" s="72" t="s">
        <v>223</v>
      </c>
      <c r="C209" s="60" t="s">
        <v>3</v>
      </c>
      <c r="D209" s="122">
        <v>3.4722222222222224E-2</v>
      </c>
      <c r="E209" s="122" t="s">
        <v>422</v>
      </c>
      <c r="F209" s="122" t="b">
        <v>1</v>
      </c>
      <c r="G209" s="71"/>
      <c r="H209" s="147" t="s">
        <v>452</v>
      </c>
      <c r="I209" s="42"/>
      <c r="J209" s="34"/>
      <c r="K209" s="35" t="b">
        <v>1</v>
      </c>
      <c r="L209" s="33" t="s">
        <v>232</v>
      </c>
      <c r="M209" s="179">
        <v>42020</v>
      </c>
    </row>
    <row r="210" spans="1:13" s="68" customFormat="1" ht="127.5" hidden="1" customHeight="1" outlineLevel="2" x14ac:dyDescent="0.2">
      <c r="A210" s="172">
        <v>21568</v>
      </c>
      <c r="B210" s="72" t="s">
        <v>224</v>
      </c>
      <c r="C210" s="60" t="s">
        <v>3</v>
      </c>
      <c r="D210" s="122">
        <v>3.4722222222222224E-2</v>
      </c>
      <c r="E210" s="122" t="s">
        <v>422</v>
      </c>
      <c r="F210" s="122" t="b">
        <v>1</v>
      </c>
      <c r="G210" s="71"/>
      <c r="H210" s="106" t="s">
        <v>453</v>
      </c>
      <c r="I210" s="42"/>
      <c r="J210" s="34"/>
      <c r="K210" s="35" t="b">
        <v>1</v>
      </c>
      <c r="L210" s="33" t="s">
        <v>232</v>
      </c>
      <c r="M210" s="179">
        <v>42020</v>
      </c>
    </row>
    <row r="211" spans="1:13" s="68" customFormat="1" ht="153" hidden="1" customHeight="1" outlineLevel="2" x14ac:dyDescent="0.2">
      <c r="A211" s="172">
        <v>21601</v>
      </c>
      <c r="B211" s="72" t="s">
        <v>225</v>
      </c>
      <c r="C211" s="60" t="s">
        <v>3</v>
      </c>
      <c r="D211" s="122">
        <v>3.4722222222222224E-2</v>
      </c>
      <c r="E211" s="122" t="s">
        <v>422</v>
      </c>
      <c r="F211" s="122" t="b">
        <v>0</v>
      </c>
      <c r="G211" s="71"/>
      <c r="H211" s="147" t="s">
        <v>454</v>
      </c>
      <c r="I211" s="42"/>
      <c r="J211" s="34"/>
      <c r="K211" s="35" t="b">
        <v>1</v>
      </c>
      <c r="L211" s="33" t="s">
        <v>232</v>
      </c>
      <c r="M211" s="179">
        <v>42020</v>
      </c>
    </row>
    <row r="212" spans="1:13" s="68" customFormat="1" ht="12.75" hidden="1" outlineLevel="1" x14ac:dyDescent="0.2">
      <c r="A212" s="113"/>
      <c r="B212" s="69" t="s">
        <v>226</v>
      </c>
      <c r="C212" s="12"/>
      <c r="D212" s="121" t="e">
        <f>SumTestCase(Table_2[Run Time],Testcase_Color,Workflow_Color)</f>
        <v>#VALUE!</v>
      </c>
      <c r="E212" s="121"/>
      <c r="F212" s="121"/>
      <c r="G212" s="12"/>
      <c r="H212" s="13"/>
      <c r="I212" s="12"/>
      <c r="J212" s="12"/>
      <c r="K212" s="12"/>
      <c r="L212" s="12"/>
      <c r="M212" s="12"/>
    </row>
    <row r="213" spans="1:13" s="68" customFormat="1" ht="89.25" hidden="1" customHeight="1" outlineLevel="2" x14ac:dyDescent="0.2">
      <c r="A213" s="172">
        <v>21570</v>
      </c>
      <c r="B213" s="72" t="s">
        <v>227</v>
      </c>
      <c r="C213" s="60" t="s">
        <v>3</v>
      </c>
      <c r="D213" s="122">
        <v>2.4305555555555556E-2</v>
      </c>
      <c r="E213" s="122" t="s">
        <v>422</v>
      </c>
      <c r="F213" s="122" t="b">
        <v>1</v>
      </c>
      <c r="G213" s="71"/>
      <c r="H213" s="147" t="s">
        <v>455</v>
      </c>
      <c r="I213" s="42"/>
      <c r="J213" s="34"/>
      <c r="K213" s="35" t="b">
        <v>1</v>
      </c>
      <c r="L213" s="33" t="s">
        <v>232</v>
      </c>
      <c r="M213" s="179">
        <v>42020</v>
      </c>
    </row>
    <row r="214" spans="1:13" s="68" customFormat="1" ht="127.5" hidden="1" customHeight="1" outlineLevel="2" x14ac:dyDescent="0.2">
      <c r="A214" s="172">
        <v>21600</v>
      </c>
      <c r="B214" s="72" t="s">
        <v>228</v>
      </c>
      <c r="C214" s="60" t="s">
        <v>3</v>
      </c>
      <c r="D214" s="122">
        <v>2.4305555555555556E-2</v>
      </c>
      <c r="E214" s="122" t="s">
        <v>422</v>
      </c>
      <c r="F214" s="122" t="b">
        <v>0</v>
      </c>
      <c r="G214" s="71"/>
      <c r="H214" s="106" t="s">
        <v>456</v>
      </c>
      <c r="I214" s="42"/>
      <c r="J214" s="34"/>
      <c r="K214" s="35" t="b">
        <v>1</v>
      </c>
      <c r="L214" s="33" t="s">
        <v>232</v>
      </c>
      <c r="M214" s="179">
        <v>42020</v>
      </c>
    </row>
    <row r="215" spans="1:13" s="68" customFormat="1" ht="153" hidden="1" customHeight="1" outlineLevel="2" x14ac:dyDescent="0.2">
      <c r="A215" s="172">
        <v>21569</v>
      </c>
      <c r="B215" s="72" t="s">
        <v>229</v>
      </c>
      <c r="C215" s="60" t="s">
        <v>3</v>
      </c>
      <c r="D215" s="122">
        <v>2.4305555555555556E-2</v>
      </c>
      <c r="E215" s="122" t="s">
        <v>422</v>
      </c>
      <c r="F215" s="122" t="b">
        <v>1</v>
      </c>
      <c r="G215" s="71"/>
      <c r="H215" s="106" t="s">
        <v>457</v>
      </c>
      <c r="I215" s="42"/>
      <c r="J215" s="34"/>
      <c r="K215" s="35" t="b">
        <v>1</v>
      </c>
      <c r="L215" s="33" t="s">
        <v>232</v>
      </c>
      <c r="M215" s="179">
        <v>42020</v>
      </c>
    </row>
    <row r="216" spans="1:13" s="68" customFormat="1" ht="76.5" hidden="1" customHeight="1" outlineLevel="2" x14ac:dyDescent="0.2">
      <c r="A216" s="172">
        <v>21602</v>
      </c>
      <c r="B216" s="72" t="s">
        <v>230</v>
      </c>
      <c r="C216" s="19" t="s">
        <v>3</v>
      </c>
      <c r="D216" s="122">
        <v>2.4305555555555556E-2</v>
      </c>
      <c r="E216" s="122" t="s">
        <v>422</v>
      </c>
      <c r="F216" s="122" t="b">
        <v>0</v>
      </c>
      <c r="G216" s="71"/>
      <c r="H216" s="105" t="s">
        <v>458</v>
      </c>
      <c r="I216" s="42"/>
      <c r="J216" s="34"/>
      <c r="K216" s="35" t="b">
        <v>1</v>
      </c>
      <c r="L216" s="33" t="s">
        <v>232</v>
      </c>
      <c r="M216" s="179">
        <v>42020</v>
      </c>
    </row>
    <row r="217" spans="1:13" s="68" customFormat="1" ht="12.75" hidden="1" outlineLevel="1" x14ac:dyDescent="0.2">
      <c r="A217" s="113"/>
      <c r="B217" s="69" t="s">
        <v>191</v>
      </c>
      <c r="C217" s="12"/>
      <c r="D217" s="121" t="e">
        <f>SumTestCase(Table_2[Run Time],Testcase_Color,Workflow_Color)</f>
        <v>#VALUE!</v>
      </c>
      <c r="E217" s="121"/>
      <c r="F217" s="121"/>
      <c r="G217" s="12"/>
      <c r="H217" s="13"/>
      <c r="I217" s="12"/>
      <c r="J217" s="12"/>
      <c r="K217" s="12"/>
      <c r="L217" s="12"/>
      <c r="M217" s="12"/>
    </row>
    <row r="218" spans="1:13" s="68" customFormat="1" ht="76.5" hidden="1" customHeight="1" outlineLevel="2" x14ac:dyDescent="0.2">
      <c r="A218" s="172">
        <v>21573</v>
      </c>
      <c r="B218" s="59" t="s">
        <v>192</v>
      </c>
      <c r="C218" s="19" t="s">
        <v>3</v>
      </c>
      <c r="D218" s="122">
        <v>2.4305555555555556E-2</v>
      </c>
      <c r="E218" s="122" t="s">
        <v>422</v>
      </c>
      <c r="F218" s="122" t="b">
        <v>0</v>
      </c>
      <c r="G218" s="71"/>
      <c r="H218" s="48" t="s">
        <v>459</v>
      </c>
      <c r="I218" s="42"/>
      <c r="J218" s="34"/>
      <c r="K218" s="35" t="b">
        <v>1</v>
      </c>
      <c r="L218" s="33" t="s">
        <v>232</v>
      </c>
      <c r="M218" s="179">
        <v>42020</v>
      </c>
    </row>
    <row r="219" spans="1:13" s="68" customFormat="1" ht="102" hidden="1" customHeight="1" outlineLevel="2" x14ac:dyDescent="0.2">
      <c r="A219" s="172">
        <v>21575</v>
      </c>
      <c r="B219" s="59" t="s">
        <v>193</v>
      </c>
      <c r="C219" s="19" t="s">
        <v>3</v>
      </c>
      <c r="D219" s="122">
        <v>2.4305555555555556E-2</v>
      </c>
      <c r="E219" s="122" t="s">
        <v>422</v>
      </c>
      <c r="F219" s="122" t="b">
        <v>0</v>
      </c>
      <c r="G219" s="71"/>
      <c r="H219" s="48" t="s">
        <v>460</v>
      </c>
      <c r="I219" s="42"/>
      <c r="J219" s="34"/>
      <c r="K219" s="35" t="b">
        <v>1</v>
      </c>
      <c r="L219" s="33" t="s">
        <v>232</v>
      </c>
      <c r="M219" s="179">
        <v>42020</v>
      </c>
    </row>
    <row r="220" spans="1:13" s="68" customFormat="1" ht="76.5" hidden="1" customHeight="1" outlineLevel="2" x14ac:dyDescent="0.2">
      <c r="A220" s="172">
        <v>21574</v>
      </c>
      <c r="B220" s="59" t="s">
        <v>194</v>
      </c>
      <c r="C220" s="19" t="s">
        <v>3</v>
      </c>
      <c r="D220" s="122">
        <v>2.4305555555555556E-2</v>
      </c>
      <c r="E220" s="122" t="s">
        <v>422</v>
      </c>
      <c r="F220" s="122" t="b">
        <v>0</v>
      </c>
      <c r="G220" s="71"/>
      <c r="H220" s="48" t="s">
        <v>461</v>
      </c>
      <c r="I220" s="42"/>
      <c r="J220" s="34"/>
      <c r="K220" s="35" t="b">
        <v>1</v>
      </c>
      <c r="L220" s="33" t="s">
        <v>232</v>
      </c>
      <c r="M220" s="179">
        <v>42020</v>
      </c>
    </row>
    <row r="221" spans="1:13" s="68" customFormat="1" ht="51" hidden="1" customHeight="1" outlineLevel="2" x14ac:dyDescent="0.2">
      <c r="A221" s="172">
        <v>21576</v>
      </c>
      <c r="B221" s="59" t="s">
        <v>195</v>
      </c>
      <c r="C221" s="19" t="s">
        <v>3</v>
      </c>
      <c r="D221" s="122">
        <v>2.4305555555555556E-2</v>
      </c>
      <c r="E221" s="122" t="s">
        <v>422</v>
      </c>
      <c r="F221" s="122" t="b">
        <v>1</v>
      </c>
      <c r="G221" s="71"/>
      <c r="H221" s="45" t="s">
        <v>446</v>
      </c>
      <c r="I221" s="42"/>
      <c r="J221" s="34"/>
      <c r="K221" s="35" t="b">
        <v>1</v>
      </c>
      <c r="L221" s="33" t="s">
        <v>232</v>
      </c>
      <c r="M221" s="179">
        <v>42020</v>
      </c>
    </row>
    <row r="222" spans="1:13" s="68" customFormat="1" ht="12.75" hidden="1" outlineLevel="1" x14ac:dyDescent="0.2">
      <c r="A222" s="113"/>
      <c r="B222" s="69" t="s">
        <v>186</v>
      </c>
      <c r="C222" s="12"/>
      <c r="D222" s="121" t="e">
        <f>SumTestCase(Table_2[Run Time],Testcase_Color,Workflow_Color)</f>
        <v>#VALUE!</v>
      </c>
      <c r="E222" s="121"/>
      <c r="F222" s="121"/>
      <c r="G222" s="12"/>
      <c r="H222" s="13"/>
      <c r="I222" s="12"/>
      <c r="J222" s="12"/>
      <c r="K222" s="12"/>
      <c r="L222" s="12"/>
      <c r="M222" s="12"/>
    </row>
    <row r="223" spans="1:13" s="68" customFormat="1" ht="51" hidden="1" customHeight="1" outlineLevel="2" x14ac:dyDescent="0.2">
      <c r="A223" s="172">
        <v>21553</v>
      </c>
      <c r="B223" s="59" t="s">
        <v>187</v>
      </c>
      <c r="C223" s="60" t="s">
        <v>3</v>
      </c>
      <c r="D223" s="122">
        <v>2.4305555555555556E-2</v>
      </c>
      <c r="E223" s="122" t="s">
        <v>422</v>
      </c>
      <c r="F223" s="122" t="b">
        <v>1</v>
      </c>
      <c r="G223" s="71"/>
      <c r="H223" s="52" t="s">
        <v>443</v>
      </c>
      <c r="I223" s="42"/>
      <c r="J223" s="34"/>
      <c r="K223" s="35" t="b">
        <v>1</v>
      </c>
      <c r="L223" s="33" t="s">
        <v>232</v>
      </c>
      <c r="M223" s="179">
        <v>42020</v>
      </c>
    </row>
    <row r="224" spans="1:13" s="68" customFormat="1" ht="25.5" hidden="1" customHeight="1" outlineLevel="2" x14ac:dyDescent="0.2">
      <c r="A224" s="172">
        <v>21555</v>
      </c>
      <c r="B224" s="59" t="s">
        <v>188</v>
      </c>
      <c r="C224" s="60" t="s">
        <v>3</v>
      </c>
      <c r="D224" s="122">
        <v>2.4305555555555556E-2</v>
      </c>
      <c r="E224" s="122" t="s">
        <v>422</v>
      </c>
      <c r="F224" s="122" t="b">
        <v>0</v>
      </c>
      <c r="G224" s="71"/>
      <c r="H224" s="52" t="s">
        <v>462</v>
      </c>
      <c r="I224" s="42"/>
      <c r="J224" s="34"/>
      <c r="K224" s="35" t="b">
        <v>1</v>
      </c>
      <c r="L224" s="33" t="s">
        <v>232</v>
      </c>
      <c r="M224" s="179">
        <v>42020</v>
      </c>
    </row>
    <row r="225" spans="1:13" s="68" customFormat="1" ht="51" hidden="1" customHeight="1" outlineLevel="2" x14ac:dyDescent="0.2">
      <c r="A225" s="172">
        <v>21554</v>
      </c>
      <c r="B225" s="59" t="s">
        <v>189</v>
      </c>
      <c r="C225" s="60" t="s">
        <v>3</v>
      </c>
      <c r="D225" s="122">
        <v>2.4305555555555556E-2</v>
      </c>
      <c r="E225" s="122" t="s">
        <v>422</v>
      </c>
      <c r="F225" s="122" t="b">
        <v>0</v>
      </c>
      <c r="G225" s="71"/>
      <c r="H225" s="52" t="s">
        <v>443</v>
      </c>
      <c r="I225" s="42"/>
      <c r="J225" s="34"/>
      <c r="K225" s="35" t="b">
        <v>1</v>
      </c>
      <c r="L225" s="33" t="s">
        <v>232</v>
      </c>
      <c r="M225" s="179">
        <v>42020</v>
      </c>
    </row>
    <row r="226" spans="1:13" s="68" customFormat="1" ht="25.5" hidden="1" customHeight="1" outlineLevel="2" x14ac:dyDescent="0.2">
      <c r="A226" s="172">
        <v>21556</v>
      </c>
      <c r="B226" s="59" t="s">
        <v>190</v>
      </c>
      <c r="C226" s="19" t="s">
        <v>3</v>
      </c>
      <c r="D226" s="122">
        <v>2.4305555555555556E-2</v>
      </c>
      <c r="E226" s="122" t="s">
        <v>422</v>
      </c>
      <c r="F226" s="122" t="b">
        <v>1</v>
      </c>
      <c r="G226" s="71"/>
      <c r="H226" s="52" t="s">
        <v>462</v>
      </c>
      <c r="I226" s="42"/>
      <c r="J226" s="34"/>
      <c r="K226" s="35" t="b">
        <v>1</v>
      </c>
      <c r="L226" s="33" t="s">
        <v>232</v>
      </c>
      <c r="M226" s="179">
        <v>42020</v>
      </c>
    </row>
    <row r="227" spans="1:13" s="68" customFormat="1" ht="12.75" hidden="1" outlineLevel="1" x14ac:dyDescent="0.2">
      <c r="A227" s="113"/>
      <c r="B227" s="69" t="s">
        <v>196</v>
      </c>
      <c r="C227" s="12"/>
      <c r="D227" s="121" t="e">
        <f>SumTestCase(Table_2[Run Time],Testcase_Color,Workflow_Color)</f>
        <v>#VALUE!</v>
      </c>
      <c r="E227" s="121"/>
      <c r="F227" s="121"/>
      <c r="G227" s="12"/>
      <c r="H227" s="13"/>
      <c r="I227" s="12"/>
      <c r="J227" s="12"/>
      <c r="K227" s="12"/>
      <c r="L227" s="12"/>
      <c r="M227" s="12"/>
    </row>
    <row r="228" spans="1:13" s="68" customFormat="1" ht="102" hidden="1" customHeight="1" outlineLevel="2" x14ac:dyDescent="0.2">
      <c r="A228" s="172">
        <v>21563</v>
      </c>
      <c r="B228" s="59" t="s">
        <v>197</v>
      </c>
      <c r="C228" s="60" t="s">
        <v>3</v>
      </c>
      <c r="D228" s="122">
        <v>2.4305555555555556E-2</v>
      </c>
      <c r="E228" s="122" t="s">
        <v>422</v>
      </c>
      <c r="F228" s="122" t="b">
        <v>1</v>
      </c>
      <c r="G228" s="71"/>
      <c r="H228" s="147" t="s">
        <v>463</v>
      </c>
      <c r="I228" s="42"/>
      <c r="J228" s="34"/>
      <c r="K228" s="35" t="b">
        <v>1</v>
      </c>
      <c r="L228" s="33" t="s">
        <v>232</v>
      </c>
      <c r="M228" s="179">
        <v>42020</v>
      </c>
    </row>
    <row r="229" spans="1:13" s="68" customFormat="1" ht="127.5" hidden="1" customHeight="1" outlineLevel="2" x14ac:dyDescent="0.2">
      <c r="A229" s="172">
        <v>21565</v>
      </c>
      <c r="B229" s="59" t="s">
        <v>198</v>
      </c>
      <c r="C229" s="60" t="s">
        <v>3</v>
      </c>
      <c r="D229" s="122">
        <v>2.4305555555555556E-2</v>
      </c>
      <c r="E229" s="122" t="s">
        <v>422</v>
      </c>
      <c r="F229" s="122" t="b">
        <v>0</v>
      </c>
      <c r="G229" s="71"/>
      <c r="H229" s="106" t="s">
        <v>464</v>
      </c>
      <c r="I229" s="42"/>
      <c r="J229" s="34"/>
      <c r="K229" s="35" t="b">
        <v>1</v>
      </c>
      <c r="L229" s="33" t="s">
        <v>232</v>
      </c>
      <c r="M229" s="179">
        <v>42020</v>
      </c>
    </row>
    <row r="230" spans="1:13" s="68" customFormat="1" ht="127.5" hidden="1" customHeight="1" outlineLevel="2" x14ac:dyDescent="0.2">
      <c r="A230" s="172">
        <v>21564</v>
      </c>
      <c r="B230" s="59" t="s">
        <v>199</v>
      </c>
      <c r="C230" s="60" t="s">
        <v>3</v>
      </c>
      <c r="D230" s="122">
        <v>2.4305555555555556E-2</v>
      </c>
      <c r="E230" s="122" t="s">
        <v>422</v>
      </c>
      <c r="F230" s="122" t="b">
        <v>1</v>
      </c>
      <c r="G230" s="71"/>
      <c r="H230" s="106" t="s">
        <v>464</v>
      </c>
      <c r="I230" s="42"/>
      <c r="J230" s="34"/>
      <c r="K230" s="35" t="b">
        <v>1</v>
      </c>
      <c r="L230" s="33" t="s">
        <v>232</v>
      </c>
      <c r="M230" s="179">
        <v>42020</v>
      </c>
    </row>
    <row r="231" spans="1:13" s="68" customFormat="1" ht="76.5" hidden="1" customHeight="1" outlineLevel="2" x14ac:dyDescent="0.2">
      <c r="A231" s="172">
        <v>21566</v>
      </c>
      <c r="B231" s="59" t="s">
        <v>200</v>
      </c>
      <c r="C231" s="60" t="s">
        <v>3</v>
      </c>
      <c r="D231" s="122">
        <v>2.4305555555555556E-2</v>
      </c>
      <c r="E231" s="122" t="s">
        <v>422</v>
      </c>
      <c r="F231" s="122" t="b">
        <v>1</v>
      </c>
      <c r="G231" s="71"/>
      <c r="H231" s="105" t="s">
        <v>465</v>
      </c>
      <c r="I231" s="42"/>
      <c r="J231" s="34"/>
      <c r="K231" s="35" t="b">
        <v>1</v>
      </c>
      <c r="L231" s="33" t="s">
        <v>232</v>
      </c>
      <c r="M231" s="179">
        <v>42020</v>
      </c>
    </row>
    <row r="232" spans="1:13" hidden="1" outlineLevel="1" x14ac:dyDescent="0.25">
      <c r="A232" s="113"/>
      <c r="B232" s="69" t="s">
        <v>517</v>
      </c>
      <c r="C232" s="12"/>
      <c r="D232" s="121" t="e">
        <f>SumTestCase(Table_2[Run Time],Testcase_Color,Workflow_Color)</f>
        <v>#VALUE!</v>
      </c>
      <c r="E232" s="121"/>
      <c r="F232" s="121"/>
      <c r="G232" s="12"/>
      <c r="H232" s="13"/>
      <c r="I232" s="12"/>
      <c r="J232" s="12"/>
      <c r="K232" s="12"/>
      <c r="L232" s="12"/>
      <c r="M232" s="12"/>
    </row>
    <row r="233" spans="1:13" ht="15" hidden="1" customHeight="1" outlineLevel="2" x14ac:dyDescent="0.25">
      <c r="A233" s="172">
        <v>21285</v>
      </c>
      <c r="B233" s="114" t="s">
        <v>417</v>
      </c>
      <c r="C233" s="60" t="s">
        <v>3</v>
      </c>
      <c r="D233" s="122">
        <v>5.4976851851851853E-3</v>
      </c>
      <c r="E233" s="122" t="s">
        <v>422</v>
      </c>
      <c r="F233" s="122" t="b">
        <v>0</v>
      </c>
      <c r="G233" s="171"/>
      <c r="H233" s="147"/>
      <c r="I233" s="42"/>
      <c r="J233" s="34"/>
      <c r="K233" s="35" t="b">
        <v>0</v>
      </c>
      <c r="L233" s="33" t="s">
        <v>232</v>
      </c>
      <c r="M233" s="179">
        <v>42020</v>
      </c>
    </row>
    <row r="234" spans="1:13" ht="15" hidden="1" customHeight="1" outlineLevel="2" x14ac:dyDescent="0.25">
      <c r="A234" s="172">
        <v>21286</v>
      </c>
      <c r="B234" s="114" t="s">
        <v>418</v>
      </c>
      <c r="C234" s="60" t="s">
        <v>3</v>
      </c>
      <c r="D234" s="122">
        <v>5.0115740740740737E-3</v>
      </c>
      <c r="E234" s="122" t="s">
        <v>422</v>
      </c>
      <c r="F234" s="122" t="b">
        <v>0</v>
      </c>
      <c r="G234" s="171"/>
      <c r="H234" s="147"/>
      <c r="I234" s="42"/>
      <c r="J234" s="34"/>
      <c r="K234" s="35" t="b">
        <v>0</v>
      </c>
      <c r="L234" s="33" t="s">
        <v>232</v>
      </c>
      <c r="M234" s="179">
        <v>42020</v>
      </c>
    </row>
    <row r="235" spans="1:13" ht="15" hidden="1" customHeight="1" outlineLevel="2" x14ac:dyDescent="0.25">
      <c r="A235" s="172">
        <v>21287</v>
      </c>
      <c r="B235" s="114" t="s">
        <v>518</v>
      </c>
      <c r="C235" s="60" t="s">
        <v>3</v>
      </c>
      <c r="D235" s="122">
        <v>3.8657407407407408E-3</v>
      </c>
      <c r="E235" s="122" t="s">
        <v>422</v>
      </c>
      <c r="F235" s="122" t="b">
        <v>0</v>
      </c>
      <c r="G235" s="171"/>
      <c r="H235" s="147"/>
      <c r="I235" s="42"/>
      <c r="J235" s="34"/>
      <c r="K235" s="35" t="b">
        <v>0</v>
      </c>
      <c r="L235" s="33" t="s">
        <v>232</v>
      </c>
      <c r="M235" s="179">
        <v>42020</v>
      </c>
    </row>
    <row r="236" spans="1:13" ht="15" hidden="1" customHeight="1" outlineLevel="2" x14ac:dyDescent="0.25">
      <c r="A236" s="172">
        <v>21288</v>
      </c>
      <c r="B236" s="114" t="s">
        <v>519</v>
      </c>
      <c r="C236" s="60" t="s">
        <v>3</v>
      </c>
      <c r="D236" s="122">
        <v>4.409722222222222E-3</v>
      </c>
      <c r="E236" s="122" t="s">
        <v>422</v>
      </c>
      <c r="F236" s="122" t="b">
        <v>0</v>
      </c>
      <c r="G236" s="171"/>
      <c r="H236" s="147"/>
      <c r="I236" s="42"/>
      <c r="J236" s="34"/>
      <c r="K236" s="35" t="b">
        <v>0</v>
      </c>
      <c r="L236" s="33" t="s">
        <v>232</v>
      </c>
      <c r="M236" s="179">
        <v>42020</v>
      </c>
    </row>
    <row r="237" spans="1:13" ht="30" hidden="1" customHeight="1" outlineLevel="2" x14ac:dyDescent="0.25">
      <c r="A237" s="172">
        <v>21289</v>
      </c>
      <c r="B237" s="114" t="s">
        <v>520</v>
      </c>
      <c r="C237" s="60" t="s">
        <v>11</v>
      </c>
      <c r="D237" s="122">
        <v>0</v>
      </c>
      <c r="E237" s="122" t="s">
        <v>422</v>
      </c>
      <c r="F237" s="122" t="b">
        <v>0</v>
      </c>
      <c r="G237" s="173" t="s">
        <v>552</v>
      </c>
      <c r="H237" s="147"/>
      <c r="I237" s="42"/>
      <c r="J237" s="34"/>
      <c r="K237" s="35" t="b">
        <v>0</v>
      </c>
      <c r="L237" s="33" t="s">
        <v>232</v>
      </c>
      <c r="M237" s="179">
        <v>42020</v>
      </c>
    </row>
    <row r="238" spans="1:13" ht="15" hidden="1" customHeight="1" outlineLevel="2" x14ac:dyDescent="0.25">
      <c r="A238" s="172">
        <v>21293</v>
      </c>
      <c r="B238" s="114" t="s">
        <v>559</v>
      </c>
      <c r="C238" s="60" t="s">
        <v>3</v>
      </c>
      <c r="D238" s="122">
        <v>7.0601851851851841E-3</v>
      </c>
      <c r="E238" s="122" t="s">
        <v>422</v>
      </c>
      <c r="F238" s="122" t="b">
        <v>0</v>
      </c>
      <c r="G238" s="171"/>
      <c r="H238" s="176" t="s">
        <v>561</v>
      </c>
      <c r="I238" s="42"/>
      <c r="J238" s="34"/>
      <c r="K238" s="35" t="b">
        <v>0</v>
      </c>
      <c r="L238" s="33" t="s">
        <v>232</v>
      </c>
      <c r="M238" s="179">
        <v>42020</v>
      </c>
    </row>
    <row r="239" spans="1:13" ht="30" hidden="1" customHeight="1" outlineLevel="2" x14ac:dyDescent="0.25">
      <c r="A239" s="172">
        <v>21398</v>
      </c>
      <c r="B239" s="114" t="s">
        <v>521</v>
      </c>
      <c r="C239" s="60" t="s">
        <v>11</v>
      </c>
      <c r="D239" s="122">
        <v>0</v>
      </c>
      <c r="E239" s="122" t="s">
        <v>422</v>
      </c>
      <c r="F239" s="122" t="b">
        <v>0</v>
      </c>
      <c r="G239" s="173" t="s">
        <v>552</v>
      </c>
      <c r="H239" s="147"/>
      <c r="I239" s="42"/>
      <c r="J239" s="34"/>
      <c r="K239" s="35" t="b">
        <v>0</v>
      </c>
      <c r="L239" s="33" t="s">
        <v>232</v>
      </c>
      <c r="M239" s="179">
        <v>42020</v>
      </c>
    </row>
    <row r="240" spans="1:13" hidden="1" outlineLevel="1" x14ac:dyDescent="0.25">
      <c r="A240" s="113"/>
      <c r="B240" s="69" t="s">
        <v>522</v>
      </c>
      <c r="C240" s="12"/>
      <c r="D240" s="121" t="e">
        <f>SumTestCase(Table_2[Run Time],Testcase_Color,Workflow_Color)</f>
        <v>#VALUE!</v>
      </c>
      <c r="E240" s="121"/>
      <c r="F240" s="121"/>
      <c r="G240" s="12"/>
      <c r="H240" s="13"/>
      <c r="I240" s="12"/>
      <c r="J240" s="12"/>
      <c r="K240" s="12"/>
      <c r="L240" s="12"/>
      <c r="M240" s="12"/>
    </row>
    <row r="241" spans="1:13" ht="15" hidden="1" customHeight="1" outlineLevel="2" x14ac:dyDescent="0.25">
      <c r="A241" s="172">
        <v>21337</v>
      </c>
      <c r="B241" s="114" t="s">
        <v>164</v>
      </c>
      <c r="C241" s="60" t="s">
        <v>3</v>
      </c>
      <c r="D241" s="122">
        <v>1.1354166666666667E-2</v>
      </c>
      <c r="E241" s="122" t="s">
        <v>422</v>
      </c>
      <c r="F241" s="122" t="b">
        <v>0</v>
      </c>
      <c r="G241" s="171"/>
      <c r="H241" s="147"/>
      <c r="I241" s="42"/>
      <c r="J241" s="34"/>
      <c r="K241" s="35" t="b">
        <v>0</v>
      </c>
      <c r="L241" s="33" t="s">
        <v>232</v>
      </c>
      <c r="M241" s="179">
        <v>42130.451666666668</v>
      </c>
    </row>
    <row r="242" spans="1:13" hidden="1" outlineLevel="1" x14ac:dyDescent="0.25">
      <c r="A242" s="113"/>
      <c r="B242" s="69" t="s">
        <v>523</v>
      </c>
      <c r="C242" s="12"/>
      <c r="D242" s="121" t="e">
        <f>SumTestCase(Table_2[Run Time],Testcase_Color,Workflow_Color)</f>
        <v>#VALUE!</v>
      </c>
      <c r="E242" s="121"/>
      <c r="F242" s="121"/>
      <c r="G242" s="12"/>
      <c r="H242" s="13"/>
      <c r="I242" s="12"/>
      <c r="J242" s="12"/>
      <c r="K242" s="12"/>
      <c r="L242" s="12"/>
      <c r="M242" s="12"/>
    </row>
    <row r="243" spans="1:13" ht="27" hidden="1" customHeight="1" outlineLevel="2" x14ac:dyDescent="0.25">
      <c r="A243" s="172">
        <v>21279</v>
      </c>
      <c r="B243" s="114" t="s">
        <v>524</v>
      </c>
      <c r="C243" s="60" t="s">
        <v>3</v>
      </c>
      <c r="D243" s="122">
        <v>9.3750000000000007E-4</v>
      </c>
      <c r="E243" s="122" t="s">
        <v>422</v>
      </c>
      <c r="F243" s="122" t="b">
        <v>0</v>
      </c>
      <c r="G243" s="171"/>
      <c r="H243" s="147" t="s">
        <v>564</v>
      </c>
      <c r="I243" s="42"/>
      <c r="J243" s="34"/>
      <c r="K243" s="35" t="b">
        <v>0</v>
      </c>
      <c r="L243" s="33" t="s">
        <v>232</v>
      </c>
      <c r="M243" s="179">
        <v>42101.417881944442</v>
      </c>
    </row>
    <row r="244" spans="1:13" hidden="1" outlineLevel="1" x14ac:dyDescent="0.25">
      <c r="A244" s="113"/>
      <c r="B244" s="69" t="s">
        <v>525</v>
      </c>
      <c r="C244" s="12"/>
      <c r="D244" s="121" t="e">
        <f>SumTestCase(Table_2[Run Time],Testcase_Color,Workflow_Color)</f>
        <v>#VALUE!</v>
      </c>
      <c r="E244" s="121"/>
      <c r="F244" s="121"/>
      <c r="G244" s="12"/>
      <c r="H244" s="13"/>
      <c r="I244" s="12"/>
      <c r="J244" s="12"/>
      <c r="K244" s="12"/>
      <c r="L244" s="12"/>
      <c r="M244" s="12"/>
    </row>
    <row r="245" spans="1:13" ht="30" hidden="1" customHeight="1" outlineLevel="2" x14ac:dyDescent="0.25">
      <c r="A245" s="172">
        <v>32229</v>
      </c>
      <c r="B245" s="114" t="s">
        <v>526</v>
      </c>
      <c r="C245" s="60" t="s">
        <v>11</v>
      </c>
      <c r="D245" s="122">
        <v>0</v>
      </c>
      <c r="E245" s="122" t="s">
        <v>422</v>
      </c>
      <c r="F245" s="122" t="b">
        <v>0</v>
      </c>
      <c r="G245" s="173" t="s">
        <v>552</v>
      </c>
      <c r="H245" s="147"/>
      <c r="I245" s="42"/>
      <c r="J245" s="34"/>
      <c r="K245" s="35" t="b">
        <v>0</v>
      </c>
      <c r="L245" s="33" t="s">
        <v>232</v>
      </c>
      <c r="M245" s="179">
        <v>42020</v>
      </c>
    </row>
    <row r="246" spans="1:13" ht="30" hidden="1" customHeight="1" outlineLevel="2" x14ac:dyDescent="0.25">
      <c r="A246" s="172">
        <v>21475</v>
      </c>
      <c r="B246" s="114" t="s">
        <v>527</v>
      </c>
      <c r="C246" s="60" t="s">
        <v>11</v>
      </c>
      <c r="D246" s="122">
        <v>0</v>
      </c>
      <c r="E246" s="122" t="s">
        <v>422</v>
      </c>
      <c r="F246" s="122" t="b">
        <v>0</v>
      </c>
      <c r="G246" s="173" t="s">
        <v>552</v>
      </c>
      <c r="H246" s="147"/>
      <c r="I246" s="42"/>
      <c r="J246" s="34"/>
      <c r="K246" s="35" t="b">
        <v>0</v>
      </c>
      <c r="L246" s="33" t="s">
        <v>232</v>
      </c>
      <c r="M246" s="179">
        <v>42020</v>
      </c>
    </row>
    <row r="247" spans="1:13" hidden="1" outlineLevel="1" x14ac:dyDescent="0.25">
      <c r="A247" s="113"/>
      <c r="B247" s="69" t="s">
        <v>543</v>
      </c>
      <c r="C247" s="12"/>
      <c r="D247" s="121" t="e">
        <f>SumTestCase(Table_2[Run Time],Testcase_Color,Workflow_Color)</f>
        <v>#VALUE!</v>
      </c>
      <c r="E247" s="121"/>
      <c r="F247" s="121"/>
      <c r="G247" s="12"/>
      <c r="H247" s="13"/>
      <c r="I247" s="12"/>
      <c r="J247" s="12"/>
      <c r="K247" s="12"/>
      <c r="L247" s="12"/>
      <c r="M247" s="12"/>
    </row>
    <row r="248" spans="1:13" ht="15" hidden="1" customHeight="1" outlineLevel="2" x14ac:dyDescent="0.25">
      <c r="A248" s="172">
        <v>30380</v>
      </c>
      <c r="B248" s="114" t="s">
        <v>528</v>
      </c>
      <c r="C248" s="60" t="s">
        <v>5</v>
      </c>
      <c r="D248" s="122">
        <v>0</v>
      </c>
      <c r="E248" s="122" t="s">
        <v>422</v>
      </c>
      <c r="F248" s="122" t="b">
        <v>0</v>
      </c>
      <c r="G248" s="171"/>
      <c r="H248" s="147"/>
      <c r="I248" s="42"/>
      <c r="J248" s="34"/>
      <c r="K248" s="35" t="b">
        <v>0</v>
      </c>
      <c r="L248" s="33" t="s">
        <v>232</v>
      </c>
      <c r="M248" s="179">
        <v>42020</v>
      </c>
    </row>
    <row r="249" spans="1:13" ht="15" hidden="1" customHeight="1" outlineLevel="2" x14ac:dyDescent="0.25">
      <c r="A249" s="172">
        <v>30375</v>
      </c>
      <c r="B249" s="114" t="s">
        <v>529</v>
      </c>
      <c r="C249" s="60" t="s">
        <v>5</v>
      </c>
      <c r="D249" s="122">
        <v>0</v>
      </c>
      <c r="E249" s="122" t="s">
        <v>422</v>
      </c>
      <c r="F249" s="122" t="b">
        <v>0</v>
      </c>
      <c r="G249" s="171"/>
      <c r="H249" s="147"/>
      <c r="I249" s="42"/>
      <c r="J249" s="34"/>
      <c r="K249" s="35" t="b">
        <v>0</v>
      </c>
      <c r="L249" s="33" t="s">
        <v>232</v>
      </c>
      <c r="M249" s="179">
        <v>42020</v>
      </c>
    </row>
    <row r="250" spans="1:13" ht="15" hidden="1" customHeight="1" outlineLevel="2" x14ac:dyDescent="0.25">
      <c r="A250" s="172">
        <v>30376</v>
      </c>
      <c r="B250" s="114" t="s">
        <v>530</v>
      </c>
      <c r="C250" s="60" t="s">
        <v>5</v>
      </c>
      <c r="D250" s="122">
        <v>0</v>
      </c>
      <c r="E250" s="122" t="s">
        <v>422</v>
      </c>
      <c r="F250" s="122" t="b">
        <v>0</v>
      </c>
      <c r="G250" s="171"/>
      <c r="H250" s="147"/>
      <c r="I250" s="42"/>
      <c r="J250" s="34"/>
      <c r="K250" s="35" t="b">
        <v>0</v>
      </c>
      <c r="L250" s="33" t="s">
        <v>232</v>
      </c>
      <c r="M250" s="179">
        <v>42020</v>
      </c>
    </row>
    <row r="251" spans="1:13" ht="15" hidden="1" customHeight="1" outlineLevel="2" x14ac:dyDescent="0.25">
      <c r="A251" s="172">
        <v>30383</v>
      </c>
      <c r="B251" s="114" t="s">
        <v>531</v>
      </c>
      <c r="C251" s="60" t="s">
        <v>5</v>
      </c>
      <c r="D251" s="122">
        <v>0</v>
      </c>
      <c r="E251" s="122" t="s">
        <v>422</v>
      </c>
      <c r="F251" s="122" t="b">
        <v>0</v>
      </c>
      <c r="G251" s="171"/>
      <c r="H251" s="147"/>
      <c r="I251" s="42"/>
      <c r="J251" s="34"/>
      <c r="K251" s="35" t="b">
        <v>0</v>
      </c>
      <c r="L251" s="33" t="s">
        <v>232</v>
      </c>
      <c r="M251" s="179">
        <v>42020</v>
      </c>
    </row>
    <row r="252" spans="1:13" ht="15" hidden="1" customHeight="1" outlineLevel="2" x14ac:dyDescent="0.25">
      <c r="A252" s="172">
        <v>30390</v>
      </c>
      <c r="B252" s="114" t="s">
        <v>532</v>
      </c>
      <c r="C252" s="60" t="s">
        <v>5</v>
      </c>
      <c r="D252" s="122">
        <v>0</v>
      </c>
      <c r="E252" s="122" t="s">
        <v>422</v>
      </c>
      <c r="F252" s="122" t="b">
        <v>0</v>
      </c>
      <c r="G252" s="171"/>
      <c r="H252" s="147"/>
      <c r="I252" s="42"/>
      <c r="J252" s="34"/>
      <c r="K252" s="35" t="b">
        <v>0</v>
      </c>
      <c r="L252" s="33" t="s">
        <v>232</v>
      </c>
      <c r="M252" s="179">
        <v>42020</v>
      </c>
    </row>
    <row r="253" spans="1:13" ht="15" hidden="1" customHeight="1" outlineLevel="2" x14ac:dyDescent="0.25">
      <c r="A253" s="172">
        <v>30392</v>
      </c>
      <c r="B253" s="114" t="s">
        <v>533</v>
      </c>
      <c r="C253" s="60" t="s">
        <v>5</v>
      </c>
      <c r="D253" s="122">
        <v>0</v>
      </c>
      <c r="E253" s="122" t="s">
        <v>422</v>
      </c>
      <c r="F253" s="122" t="b">
        <v>0</v>
      </c>
      <c r="G253" s="171"/>
      <c r="H253" s="147"/>
      <c r="I253" s="42"/>
      <c r="J253" s="34"/>
      <c r="K253" s="35" t="b">
        <v>0</v>
      </c>
      <c r="L253" s="33" t="s">
        <v>232</v>
      </c>
      <c r="M253" s="179">
        <v>42020</v>
      </c>
    </row>
    <row r="254" spans="1:13" ht="13.5" hidden="1" customHeight="1" outlineLevel="1" x14ac:dyDescent="0.25">
      <c r="A254" s="113"/>
      <c r="B254" s="69" t="s">
        <v>544</v>
      </c>
      <c r="C254" s="12"/>
      <c r="D254" s="121" t="e">
        <f>SumTestCase(Table_2[Run Time],Testcase_Color,Workflow_Color)</f>
        <v>#VALUE!</v>
      </c>
      <c r="E254" s="121"/>
      <c r="F254" s="121"/>
      <c r="G254" s="12"/>
      <c r="H254" s="13"/>
      <c r="I254" s="12"/>
      <c r="J254" s="12"/>
      <c r="K254" s="12"/>
      <c r="L254" s="12"/>
      <c r="M254" s="12"/>
    </row>
    <row r="255" spans="1:13" ht="15" hidden="1" customHeight="1" outlineLevel="2" x14ac:dyDescent="0.25">
      <c r="A255" s="172">
        <v>21614</v>
      </c>
      <c r="B255" s="114" t="s">
        <v>534</v>
      </c>
      <c r="C255" s="60" t="s">
        <v>9</v>
      </c>
      <c r="D255" s="122">
        <v>1.3865740740740739E-2</v>
      </c>
      <c r="E255" s="122" t="s">
        <v>422</v>
      </c>
      <c r="F255" s="122" t="b">
        <v>0</v>
      </c>
      <c r="G255" s="171"/>
      <c r="H255" s="147"/>
      <c r="I255" s="42"/>
      <c r="J255" s="34"/>
      <c r="K255" s="35" t="b">
        <v>0</v>
      </c>
      <c r="L255" s="33" t="s">
        <v>232</v>
      </c>
      <c r="M255" s="179">
        <v>42076.564004629632</v>
      </c>
    </row>
    <row r="256" spans="1:13" ht="15" hidden="1" customHeight="1" outlineLevel="2" x14ac:dyDescent="0.25">
      <c r="A256" s="172">
        <v>21615</v>
      </c>
      <c r="B256" s="114" t="s">
        <v>535</v>
      </c>
      <c r="C256" s="60" t="s">
        <v>9</v>
      </c>
      <c r="D256" s="122">
        <v>0</v>
      </c>
      <c r="E256" s="122" t="s">
        <v>422</v>
      </c>
      <c r="F256" s="122" t="b">
        <v>0</v>
      </c>
      <c r="G256" s="171"/>
      <c r="H256" s="147"/>
      <c r="I256" s="42"/>
      <c r="J256" s="34"/>
      <c r="K256" s="35" t="b">
        <v>0</v>
      </c>
      <c r="L256" s="33" t="s">
        <v>232</v>
      </c>
      <c r="M256" s="179">
        <v>42076.564027777778</v>
      </c>
    </row>
    <row r="257" spans="1:13" ht="15" hidden="1" customHeight="1" outlineLevel="2" x14ac:dyDescent="0.25">
      <c r="A257" s="172">
        <v>21616</v>
      </c>
      <c r="B257" s="114" t="s">
        <v>536</v>
      </c>
      <c r="C257" s="60" t="s">
        <v>5</v>
      </c>
      <c r="D257" s="122">
        <v>0</v>
      </c>
      <c r="E257" s="122" t="s">
        <v>422</v>
      </c>
      <c r="F257" s="122" t="b">
        <v>0</v>
      </c>
      <c r="G257" s="171"/>
      <c r="H257" s="147"/>
      <c r="I257" s="42"/>
      <c r="J257" s="34"/>
      <c r="K257" s="35" t="b">
        <v>0</v>
      </c>
      <c r="L257" s="33" t="s">
        <v>232</v>
      </c>
      <c r="M257" s="179">
        <v>42104.567615740743</v>
      </c>
    </row>
    <row r="258" spans="1:13" ht="15" hidden="1" customHeight="1" outlineLevel="2" x14ac:dyDescent="0.25">
      <c r="A258" s="172">
        <v>21617</v>
      </c>
      <c r="B258" s="114" t="s">
        <v>565</v>
      </c>
      <c r="C258" s="60" t="s">
        <v>5</v>
      </c>
      <c r="D258" s="122">
        <v>0</v>
      </c>
      <c r="E258" s="122" t="s">
        <v>422</v>
      </c>
      <c r="F258" s="122" t="b">
        <v>0</v>
      </c>
      <c r="G258" s="171"/>
      <c r="H258" s="147"/>
      <c r="I258" s="42"/>
      <c r="J258" s="34"/>
      <c r="K258" s="35" t="b">
        <v>0</v>
      </c>
      <c r="L258" s="33" t="s">
        <v>232</v>
      </c>
      <c r="M258" s="179">
        <v>42104.567650462966</v>
      </c>
    </row>
    <row r="259" spans="1:13" hidden="1" outlineLevel="2" x14ac:dyDescent="0.25">
      <c r="A259" s="172">
        <v>21618</v>
      </c>
      <c r="B259" s="114" t="s">
        <v>537</v>
      </c>
      <c r="C259" s="60" t="s">
        <v>5</v>
      </c>
      <c r="D259" s="122">
        <v>0</v>
      </c>
      <c r="E259" s="122" t="s">
        <v>422</v>
      </c>
      <c r="F259" s="122" t="b">
        <v>0</v>
      </c>
      <c r="G259" s="171"/>
      <c r="H259" s="176"/>
      <c r="I259" s="42"/>
      <c r="J259" s="34"/>
      <c r="K259" s="35" t="b">
        <v>0</v>
      </c>
      <c r="L259" s="33" t="s">
        <v>232</v>
      </c>
      <c r="M259" s="179">
        <v>42104.567650462966</v>
      </c>
    </row>
    <row r="260" spans="1:13" ht="15" hidden="1" customHeight="1" outlineLevel="2" x14ac:dyDescent="0.25">
      <c r="A260" s="172">
        <v>21619</v>
      </c>
      <c r="B260" s="114" t="s">
        <v>538</v>
      </c>
      <c r="C260" s="60" t="s">
        <v>5</v>
      </c>
      <c r="D260" s="122">
        <v>0</v>
      </c>
      <c r="E260" s="122" t="s">
        <v>422</v>
      </c>
      <c r="F260" s="122" t="b">
        <v>0</v>
      </c>
      <c r="G260" s="171"/>
      <c r="H260" s="147"/>
      <c r="I260" s="42"/>
      <c r="J260" s="34"/>
      <c r="K260" s="35" t="b">
        <v>0</v>
      </c>
      <c r="L260" s="33" t="s">
        <v>232</v>
      </c>
      <c r="M260" s="179">
        <v>42104.567650462966</v>
      </c>
    </row>
    <row r="261" spans="1:13" ht="15" hidden="1" customHeight="1" outlineLevel="2" x14ac:dyDescent="0.25">
      <c r="A261" s="172">
        <v>21620</v>
      </c>
      <c r="B261" s="114" t="s">
        <v>566</v>
      </c>
      <c r="C261" s="60" t="s">
        <v>3</v>
      </c>
      <c r="D261" s="122">
        <v>1.4490740740740742E-2</v>
      </c>
      <c r="E261" s="122" t="s">
        <v>422</v>
      </c>
      <c r="F261" s="122" t="b">
        <v>0</v>
      </c>
      <c r="G261" s="171"/>
      <c r="H261" s="147"/>
      <c r="I261" s="42"/>
      <c r="J261" s="34"/>
      <c r="K261" s="35" t="b">
        <v>0</v>
      </c>
      <c r="L261" s="33" t="s">
        <v>232</v>
      </c>
      <c r="M261" s="179">
        <v>42100.420983796299</v>
      </c>
    </row>
    <row r="262" spans="1:13" ht="15" hidden="1" customHeight="1" outlineLevel="2" x14ac:dyDescent="0.25">
      <c r="A262" s="172">
        <v>21621</v>
      </c>
      <c r="B262" s="114" t="s">
        <v>539</v>
      </c>
      <c r="C262" s="60" t="s">
        <v>3</v>
      </c>
      <c r="D262" s="122">
        <v>1.5208333333333332E-2</v>
      </c>
      <c r="E262" s="122" t="s">
        <v>422</v>
      </c>
      <c r="F262" s="122" t="b">
        <v>0</v>
      </c>
      <c r="G262" s="171"/>
      <c r="H262" s="147"/>
      <c r="I262" s="42"/>
      <c r="J262" s="34"/>
      <c r="K262" s="35" t="b">
        <v>0</v>
      </c>
      <c r="L262" s="33" t="s">
        <v>232</v>
      </c>
      <c r="M262" s="179">
        <v>42100.421041666668</v>
      </c>
    </row>
    <row r="263" spans="1:13" ht="15" hidden="1" customHeight="1" outlineLevel="2" x14ac:dyDescent="0.25">
      <c r="A263" s="172">
        <v>21622</v>
      </c>
      <c r="B263" s="114" t="s">
        <v>567</v>
      </c>
      <c r="C263" s="60" t="s">
        <v>10</v>
      </c>
      <c r="D263" s="122">
        <v>0</v>
      </c>
      <c r="E263" s="122" t="s">
        <v>422</v>
      </c>
      <c r="F263" s="122" t="b">
        <v>0</v>
      </c>
      <c r="G263" s="171"/>
      <c r="H263" s="147"/>
      <c r="I263" s="42"/>
      <c r="J263" s="34"/>
      <c r="K263" s="35" t="b">
        <v>0</v>
      </c>
      <c r="L263" s="33" t="s">
        <v>232</v>
      </c>
      <c r="M263" s="179">
        <v>42083.566770833335</v>
      </c>
    </row>
    <row r="264" spans="1:13" ht="15" hidden="1" customHeight="1" outlineLevel="2" x14ac:dyDescent="0.25">
      <c r="A264" s="172">
        <v>21623</v>
      </c>
      <c r="B264" s="114" t="s">
        <v>540</v>
      </c>
      <c r="C264" s="60" t="s">
        <v>10</v>
      </c>
      <c r="D264" s="122">
        <v>0</v>
      </c>
      <c r="E264" s="122" t="s">
        <v>422</v>
      </c>
      <c r="F264" s="122" t="b">
        <v>0</v>
      </c>
      <c r="G264" s="171"/>
      <c r="H264" s="147"/>
      <c r="I264" s="42"/>
      <c r="J264" s="34"/>
      <c r="K264" s="35" t="b">
        <v>0</v>
      </c>
      <c r="L264" s="33" t="s">
        <v>232</v>
      </c>
      <c r="M264" s="179">
        <v>42083.566770833335</v>
      </c>
    </row>
    <row r="265" spans="1:13" ht="15" hidden="1" customHeight="1" outlineLevel="2" x14ac:dyDescent="0.25">
      <c r="A265" s="172">
        <v>21624</v>
      </c>
      <c r="B265" s="114" t="s">
        <v>568</v>
      </c>
      <c r="C265" s="60" t="s">
        <v>10</v>
      </c>
      <c r="D265" s="122">
        <v>0</v>
      </c>
      <c r="E265" s="122" t="s">
        <v>422</v>
      </c>
      <c r="F265" s="122" t="b">
        <v>0</v>
      </c>
      <c r="G265" s="171"/>
      <c r="H265" s="147"/>
      <c r="I265" s="42"/>
      <c r="J265" s="34"/>
      <c r="K265" s="35" t="b">
        <v>0</v>
      </c>
      <c r="L265" s="33" t="s">
        <v>232</v>
      </c>
      <c r="M265" s="179">
        <v>42090.592476851853</v>
      </c>
    </row>
    <row r="266" spans="1:13" ht="15" hidden="1" customHeight="1" outlineLevel="2" x14ac:dyDescent="0.25">
      <c r="A266" s="172">
        <v>21625</v>
      </c>
      <c r="B266" s="114" t="s">
        <v>541</v>
      </c>
      <c r="C266" s="60" t="s">
        <v>10</v>
      </c>
      <c r="D266" s="122">
        <v>0</v>
      </c>
      <c r="E266" s="122" t="s">
        <v>422</v>
      </c>
      <c r="F266" s="122" t="b">
        <v>0</v>
      </c>
      <c r="G266" s="171"/>
      <c r="H266" s="147"/>
      <c r="I266" s="42"/>
      <c r="J266" s="34"/>
      <c r="K266" s="35" t="b">
        <v>0</v>
      </c>
      <c r="L266" s="33" t="s">
        <v>232</v>
      </c>
      <c r="M266" s="179">
        <v>42090.592499999999</v>
      </c>
    </row>
    <row r="267" spans="1:13" ht="15" hidden="1" customHeight="1" outlineLevel="2" x14ac:dyDescent="0.25">
      <c r="A267" s="172">
        <v>21626</v>
      </c>
      <c r="B267" s="114" t="s">
        <v>569</v>
      </c>
      <c r="C267" s="60" t="s">
        <v>10</v>
      </c>
      <c r="D267" s="122">
        <v>0</v>
      </c>
      <c r="E267" s="122" t="s">
        <v>422</v>
      </c>
      <c r="F267" s="122" t="b">
        <v>0</v>
      </c>
      <c r="G267" s="171"/>
      <c r="H267" s="147"/>
      <c r="I267" s="42"/>
      <c r="J267" s="34"/>
      <c r="K267" s="35" t="b">
        <v>0</v>
      </c>
      <c r="L267" s="33" t="s">
        <v>232</v>
      </c>
      <c r="M267" s="179">
        <v>42090.592546296299</v>
      </c>
    </row>
    <row r="268" spans="1:13" ht="15" hidden="1" customHeight="1" outlineLevel="2" x14ac:dyDescent="0.25">
      <c r="A268" s="172">
        <v>21627</v>
      </c>
      <c r="B268" s="114" t="s">
        <v>542</v>
      </c>
      <c r="C268" s="60" t="s">
        <v>10</v>
      </c>
      <c r="D268" s="122">
        <v>0</v>
      </c>
      <c r="E268" s="122" t="s">
        <v>422</v>
      </c>
      <c r="F268" s="122" t="b">
        <v>0</v>
      </c>
      <c r="G268" s="171"/>
      <c r="H268" s="147"/>
      <c r="I268" s="42"/>
      <c r="J268" s="34"/>
      <c r="K268" s="35" t="b">
        <v>0</v>
      </c>
      <c r="L268" s="33" t="s">
        <v>232</v>
      </c>
      <c r="M268" s="179">
        <v>42083.56689814815</v>
      </c>
    </row>
    <row r="269" spans="1:13" ht="15" hidden="1" customHeight="1" outlineLevel="2" x14ac:dyDescent="0.25">
      <c r="A269" s="172">
        <v>63291</v>
      </c>
      <c r="B269" s="114" t="s">
        <v>570</v>
      </c>
      <c r="C269" s="60" t="s">
        <v>10</v>
      </c>
      <c r="D269" s="122">
        <v>0</v>
      </c>
      <c r="E269" s="122" t="s">
        <v>422</v>
      </c>
      <c r="F269" s="122" t="b">
        <v>0</v>
      </c>
      <c r="G269" s="171"/>
      <c r="H269" s="147"/>
      <c r="I269" s="42"/>
      <c r="J269" s="34"/>
      <c r="K269" s="35" t="b">
        <v>0</v>
      </c>
      <c r="L269" s="33" t="s">
        <v>232</v>
      </c>
      <c r="M269" s="179">
        <v>42104.567754629628</v>
      </c>
    </row>
    <row r="270" spans="1:13" ht="13.5" hidden="1" customHeight="1" outlineLevel="1" x14ac:dyDescent="0.25">
      <c r="A270" s="113"/>
      <c r="B270" s="69" t="s">
        <v>547</v>
      </c>
      <c r="C270" s="12"/>
      <c r="D270" s="121" t="e">
        <f>SumTestCase(Table_2[Run Time],Testcase_Color,Workflow_Color)</f>
        <v>#VALUE!</v>
      </c>
      <c r="E270" s="121"/>
      <c r="F270" s="121"/>
      <c r="G270" s="12"/>
      <c r="H270" s="13"/>
      <c r="I270" s="12"/>
      <c r="J270" s="12"/>
      <c r="K270" s="12"/>
      <c r="L270" s="12"/>
      <c r="M270" s="12"/>
    </row>
    <row r="271" spans="1:13" ht="15" hidden="1" customHeight="1" outlineLevel="2" x14ac:dyDescent="0.25">
      <c r="A271" s="172">
        <v>21530</v>
      </c>
      <c r="B271" s="114" t="s">
        <v>545</v>
      </c>
      <c r="C271" s="60" t="s">
        <v>3</v>
      </c>
      <c r="D271" s="122">
        <v>5.3819444444444453E-3</v>
      </c>
      <c r="E271" s="122" t="s">
        <v>422</v>
      </c>
      <c r="F271" s="122" t="b">
        <v>0</v>
      </c>
      <c r="G271" s="171"/>
      <c r="H271" s="147"/>
      <c r="I271" s="42"/>
      <c r="J271" s="34"/>
      <c r="K271" s="35" t="b">
        <v>0</v>
      </c>
      <c r="L271" s="33" t="s">
        <v>232</v>
      </c>
      <c r="M271" s="179">
        <v>42020</v>
      </c>
    </row>
    <row r="272" spans="1:13" ht="15" hidden="1" customHeight="1" outlineLevel="2" x14ac:dyDescent="0.25">
      <c r="A272" s="172">
        <v>21535</v>
      </c>
      <c r="B272" s="114" t="s">
        <v>546</v>
      </c>
      <c r="C272" s="60" t="s">
        <v>3</v>
      </c>
      <c r="D272" s="122">
        <v>5.2777777777777771E-3</v>
      </c>
      <c r="E272" s="122" t="s">
        <v>422</v>
      </c>
      <c r="F272" s="122" t="b">
        <v>0</v>
      </c>
      <c r="G272" s="171"/>
      <c r="H272" s="176" t="s">
        <v>563</v>
      </c>
      <c r="I272" s="42"/>
      <c r="J272" s="34"/>
      <c r="K272" s="35" t="b">
        <v>0</v>
      </c>
      <c r="L272" s="33" t="s">
        <v>232</v>
      </c>
      <c r="M272" s="179">
        <v>42039.451921296299</v>
      </c>
    </row>
    <row r="273" spans="1:14" ht="13.5" hidden="1" customHeight="1" outlineLevel="1" x14ac:dyDescent="0.25">
      <c r="A273" s="113"/>
      <c r="B273" s="69" t="s">
        <v>548</v>
      </c>
      <c r="C273" s="12"/>
      <c r="D273" s="121" t="e">
        <f>SumTestCase(Table_2[Run Time],Testcase_Color,Workflow_Color)</f>
        <v>#VALUE!</v>
      </c>
      <c r="E273" s="121"/>
      <c r="F273" s="121"/>
      <c r="G273" s="12"/>
      <c r="H273" s="13"/>
      <c r="I273" s="12"/>
      <c r="J273" s="12"/>
      <c r="K273" s="12"/>
      <c r="L273" s="12"/>
      <c r="M273" s="12"/>
    </row>
    <row r="274" spans="1:14" ht="30" hidden="1" customHeight="1" outlineLevel="2" x14ac:dyDescent="0.25">
      <c r="A274" s="172">
        <v>21499</v>
      </c>
      <c r="B274" s="114" t="s">
        <v>549</v>
      </c>
      <c r="C274" s="60" t="s">
        <v>11</v>
      </c>
      <c r="D274" s="122">
        <v>0</v>
      </c>
      <c r="E274" s="122" t="s">
        <v>422</v>
      </c>
      <c r="F274" s="122" t="b">
        <v>0</v>
      </c>
      <c r="G274" s="173" t="s">
        <v>552</v>
      </c>
      <c r="H274" s="147"/>
      <c r="I274" s="42"/>
      <c r="J274" s="34"/>
      <c r="K274" s="35" t="b">
        <v>0</v>
      </c>
      <c r="L274" s="33" t="s">
        <v>232</v>
      </c>
      <c r="M274" s="179">
        <v>42020</v>
      </c>
    </row>
    <row r="275" spans="1:14" ht="30" hidden="1" customHeight="1" outlineLevel="2" x14ac:dyDescent="0.25">
      <c r="A275" s="172">
        <v>21500</v>
      </c>
      <c r="B275" s="114" t="s">
        <v>550</v>
      </c>
      <c r="C275" s="60" t="s">
        <v>11</v>
      </c>
      <c r="D275" s="122">
        <v>0</v>
      </c>
      <c r="E275" s="122" t="s">
        <v>422</v>
      </c>
      <c r="F275" s="122" t="b">
        <v>0</v>
      </c>
      <c r="G275" s="173" t="s">
        <v>552</v>
      </c>
      <c r="H275" s="147"/>
      <c r="I275" s="42"/>
      <c r="J275" s="34"/>
      <c r="K275" s="35" t="b">
        <v>0</v>
      </c>
      <c r="L275" s="33" t="s">
        <v>232</v>
      </c>
      <c r="M275" s="179">
        <v>42020</v>
      </c>
    </row>
    <row r="276" spans="1:14" ht="15" hidden="1" customHeight="1" outlineLevel="2" x14ac:dyDescent="0.25">
      <c r="A276" s="172">
        <v>32234</v>
      </c>
      <c r="B276" s="114" t="s">
        <v>551</v>
      </c>
      <c r="C276" s="60" t="s">
        <v>3</v>
      </c>
      <c r="D276" s="122">
        <v>4.7939814814814817E-2</v>
      </c>
      <c r="E276" s="122" t="s">
        <v>422</v>
      </c>
      <c r="F276" s="122" t="b">
        <v>0</v>
      </c>
      <c r="G276" s="171"/>
      <c r="H276" s="147"/>
      <c r="I276" s="42"/>
      <c r="J276" s="34"/>
      <c r="K276" s="35" t="b">
        <v>0</v>
      </c>
      <c r="L276" s="33" t="s">
        <v>232</v>
      </c>
      <c r="M276" s="179">
        <v>42020</v>
      </c>
    </row>
    <row r="278" spans="1:14" ht="35.25" customHeight="1" x14ac:dyDescent="0.25">
      <c r="B278" s="77" t="s">
        <v>610</v>
      </c>
      <c r="C278" s="271"/>
      <c r="D278" s="271"/>
      <c r="E278" s="271"/>
      <c r="F278" s="272"/>
      <c r="G278" s="272"/>
      <c r="H278" s="272"/>
      <c r="I278" s="272"/>
      <c r="J278" s="272"/>
      <c r="K278" s="272"/>
      <c r="L278" s="272"/>
      <c r="M278" s="272"/>
      <c r="N278" s="272"/>
    </row>
    <row r="279" spans="1:14" s="25" customFormat="1" ht="30" collapsed="1" x14ac:dyDescent="0.25">
      <c r="A279" s="21" t="s">
        <v>0</v>
      </c>
      <c r="B279" s="21" t="s">
        <v>1</v>
      </c>
      <c r="C279" s="21" t="s">
        <v>2</v>
      </c>
      <c r="D279" s="21" t="s">
        <v>420</v>
      </c>
      <c r="E279" s="21" t="s">
        <v>556</v>
      </c>
      <c r="F279" s="21" t="s">
        <v>507</v>
      </c>
      <c r="G279" s="21" t="s">
        <v>4</v>
      </c>
      <c r="H279" s="21" t="s">
        <v>31</v>
      </c>
      <c r="I279" s="22" t="s">
        <v>511</v>
      </c>
      <c r="J279" s="23" t="s">
        <v>510</v>
      </c>
      <c r="K279" s="24" t="s">
        <v>508</v>
      </c>
      <c r="L279" s="22" t="s">
        <v>509</v>
      </c>
      <c r="M279" s="22" t="s">
        <v>554</v>
      </c>
      <c r="N279" s="54"/>
    </row>
    <row r="280" spans="1:14" hidden="1" outlineLevel="1" x14ac:dyDescent="0.25">
      <c r="A280" s="113"/>
      <c r="B280" s="12" t="s">
        <v>234</v>
      </c>
      <c r="C280" s="12"/>
      <c r="D280" s="121" t="e">
        <f>SumTestCase(Table_3[Run Time],Testcase_Color,Workflow_Color)</f>
        <v>#VALUE!</v>
      </c>
      <c r="E280" s="121"/>
      <c r="F280" s="121"/>
      <c r="G280" s="12"/>
      <c r="H280" s="12"/>
      <c r="I280" s="12"/>
      <c r="J280" s="12"/>
      <c r="K280" s="12"/>
      <c r="L280" s="12"/>
      <c r="M280" s="12"/>
    </row>
    <row r="281" spans="1:14" ht="58.5" hidden="1" customHeight="1" outlineLevel="2" x14ac:dyDescent="0.25">
      <c r="A281" s="131">
        <v>22925</v>
      </c>
      <c r="B281" s="81" t="s">
        <v>235</v>
      </c>
      <c r="C281" s="82" t="s">
        <v>3</v>
      </c>
      <c r="D281" s="122">
        <v>1.1111111111111112E-2</v>
      </c>
      <c r="E281" s="122" t="s">
        <v>422</v>
      </c>
      <c r="F281" s="122" t="b">
        <v>1</v>
      </c>
      <c r="G281" s="83"/>
      <c r="H281" s="158" t="s">
        <v>501</v>
      </c>
      <c r="I281" s="78"/>
      <c r="J281" s="79"/>
      <c r="K281" s="80" t="b">
        <v>1</v>
      </c>
      <c r="L281" s="80" t="s">
        <v>424</v>
      </c>
      <c r="M281" s="179">
        <v>42027.718900462962</v>
      </c>
    </row>
    <row r="282" spans="1:14" hidden="1" outlineLevel="2" x14ac:dyDescent="0.25">
      <c r="A282" s="131">
        <v>22873</v>
      </c>
      <c r="B282" s="84" t="s">
        <v>236</v>
      </c>
      <c r="C282" s="82" t="s">
        <v>3</v>
      </c>
      <c r="D282" s="122">
        <v>2.7777777777777779E-3</v>
      </c>
      <c r="E282" s="122" t="s">
        <v>422</v>
      </c>
      <c r="F282" s="122" t="b">
        <v>0</v>
      </c>
      <c r="G282" s="83"/>
      <c r="H282" s="82"/>
      <c r="I282" s="78"/>
      <c r="J282" s="79"/>
      <c r="K282" s="80" t="b">
        <v>1</v>
      </c>
      <c r="L282" s="80" t="s">
        <v>424</v>
      </c>
      <c r="M282" s="179">
        <v>42020</v>
      </c>
    </row>
    <row r="283" spans="1:14" hidden="1" outlineLevel="2" x14ac:dyDescent="0.25">
      <c r="A283" s="131">
        <v>22875</v>
      </c>
      <c r="B283" s="84" t="s">
        <v>237</v>
      </c>
      <c r="C283" s="82" t="s">
        <v>3</v>
      </c>
      <c r="D283" s="122">
        <v>2.0833333333333333E-3</v>
      </c>
      <c r="E283" s="122" t="s">
        <v>422</v>
      </c>
      <c r="F283" s="122" t="b">
        <v>0</v>
      </c>
      <c r="G283" s="83"/>
      <c r="H283" s="82"/>
      <c r="I283" s="78"/>
      <c r="J283" s="79"/>
      <c r="K283" s="80" t="b">
        <v>1</v>
      </c>
      <c r="L283" s="80" t="s">
        <v>424</v>
      </c>
      <c r="M283" s="179">
        <v>42020</v>
      </c>
    </row>
    <row r="284" spans="1:14" hidden="1" outlineLevel="2" x14ac:dyDescent="0.25">
      <c r="A284" s="131">
        <v>22874</v>
      </c>
      <c r="B284" s="84" t="s">
        <v>238</v>
      </c>
      <c r="C284" s="82" t="s">
        <v>3</v>
      </c>
      <c r="D284" s="122">
        <v>8.3333333333333332E-3</v>
      </c>
      <c r="E284" s="122" t="s">
        <v>422</v>
      </c>
      <c r="F284" s="122" t="b">
        <v>0</v>
      </c>
      <c r="G284" s="83"/>
      <c r="H284" s="82"/>
      <c r="I284" s="78"/>
      <c r="J284" s="79"/>
      <c r="K284" s="80" t="b">
        <v>1</v>
      </c>
      <c r="L284" s="80" t="s">
        <v>424</v>
      </c>
      <c r="M284" s="179">
        <v>42020</v>
      </c>
    </row>
    <row r="285" spans="1:14" hidden="1" outlineLevel="1" x14ac:dyDescent="0.25">
      <c r="A285" s="113"/>
      <c r="B285" s="12" t="s">
        <v>239</v>
      </c>
      <c r="C285" s="12"/>
      <c r="D285" s="121" t="e">
        <f>SumTestCase(Table_3[Run Time],Testcase_Color,Workflow_Color)</f>
        <v>#VALUE!</v>
      </c>
      <c r="E285" s="121"/>
      <c r="F285" s="121"/>
      <c r="G285" s="12"/>
      <c r="H285" s="12"/>
      <c r="I285" s="12"/>
      <c r="J285" s="12"/>
      <c r="K285" s="12"/>
      <c r="L285" s="12"/>
      <c r="M285" s="12"/>
    </row>
    <row r="286" spans="1:14" hidden="1" outlineLevel="2" x14ac:dyDescent="0.2">
      <c r="A286" s="131">
        <v>22871</v>
      </c>
      <c r="B286" s="52" t="s">
        <v>240</v>
      </c>
      <c r="C286" s="82" t="s">
        <v>3</v>
      </c>
      <c r="D286" s="122">
        <v>2.0833333333333332E-2</v>
      </c>
      <c r="E286" s="122" t="s">
        <v>422</v>
      </c>
      <c r="F286" s="122" t="b">
        <v>1</v>
      </c>
      <c r="G286" s="83"/>
      <c r="H286" s="85"/>
      <c r="I286" s="78"/>
      <c r="J286" s="79"/>
      <c r="K286" s="80" t="b">
        <v>1</v>
      </c>
      <c r="L286" s="80" t="s">
        <v>424</v>
      </c>
      <c r="M286" s="179">
        <v>42020</v>
      </c>
    </row>
    <row r="287" spans="1:14" hidden="1" outlineLevel="2" x14ac:dyDescent="0.25">
      <c r="A287" s="131">
        <v>22887</v>
      </c>
      <c r="B287" s="84" t="s">
        <v>241</v>
      </c>
      <c r="C287" s="82" t="s">
        <v>3</v>
      </c>
      <c r="D287" s="122">
        <v>1.3888888888888889E-3</v>
      </c>
      <c r="E287" s="122" t="s">
        <v>422</v>
      </c>
      <c r="F287" s="122" t="b">
        <v>1</v>
      </c>
      <c r="G287" s="83"/>
      <c r="H287" s="82"/>
      <c r="I287" s="78"/>
      <c r="J287" s="79"/>
      <c r="K287" s="80" t="b">
        <v>1</v>
      </c>
      <c r="L287" s="80" t="s">
        <v>424</v>
      </c>
      <c r="M287" s="179">
        <v>42020</v>
      </c>
    </row>
    <row r="288" spans="1:14" ht="25.5" hidden="1" outlineLevel="2" x14ac:dyDescent="0.2">
      <c r="A288" s="131">
        <v>22891</v>
      </c>
      <c r="B288" s="52" t="s">
        <v>242</v>
      </c>
      <c r="C288" s="82" t="s">
        <v>3</v>
      </c>
      <c r="D288" s="122">
        <v>4.1666666666666666E-3</v>
      </c>
      <c r="E288" s="122" t="s">
        <v>422</v>
      </c>
      <c r="F288" s="122" t="b">
        <v>1</v>
      </c>
      <c r="G288" s="83"/>
      <c r="H288" s="145" t="s">
        <v>437</v>
      </c>
      <c r="I288" s="78"/>
      <c r="J288" s="79"/>
      <c r="K288" s="80" t="b">
        <v>1</v>
      </c>
      <c r="L288" s="80" t="s">
        <v>424</v>
      </c>
      <c r="M288" s="179">
        <v>42020</v>
      </c>
    </row>
    <row r="289" spans="1:13" hidden="1" outlineLevel="2" x14ac:dyDescent="0.2">
      <c r="A289" s="131">
        <v>22884</v>
      </c>
      <c r="B289" s="52" t="s">
        <v>243</v>
      </c>
      <c r="C289" s="82" t="s">
        <v>3</v>
      </c>
      <c r="D289" s="122">
        <v>1.3888888888888889E-3</v>
      </c>
      <c r="E289" s="122" t="s">
        <v>422</v>
      </c>
      <c r="F289" s="122" t="b">
        <v>1</v>
      </c>
      <c r="G289" s="83"/>
      <c r="H289" s="82"/>
      <c r="I289" s="78"/>
      <c r="J289" s="79"/>
      <c r="K289" s="80" t="b">
        <v>1</v>
      </c>
      <c r="L289" s="80" t="s">
        <v>424</v>
      </c>
      <c r="M289" s="179">
        <v>42020</v>
      </c>
    </row>
    <row r="290" spans="1:13" hidden="1" outlineLevel="2" x14ac:dyDescent="0.2">
      <c r="A290" s="131">
        <v>22892</v>
      </c>
      <c r="B290" s="52" t="s">
        <v>244</v>
      </c>
      <c r="C290" s="82" t="s">
        <v>3</v>
      </c>
      <c r="D290" s="122">
        <v>1.3888888888888889E-3</v>
      </c>
      <c r="E290" s="122" t="s">
        <v>422</v>
      </c>
      <c r="F290" s="122" t="b">
        <v>1</v>
      </c>
      <c r="G290" s="83"/>
      <c r="H290" s="82"/>
      <c r="I290" s="78"/>
      <c r="J290" s="79"/>
      <c r="K290" s="80" t="b">
        <v>1</v>
      </c>
      <c r="L290" s="80" t="s">
        <v>424</v>
      </c>
      <c r="M290" s="179">
        <v>42020</v>
      </c>
    </row>
    <row r="291" spans="1:13" hidden="1" outlineLevel="2" x14ac:dyDescent="0.25">
      <c r="A291" s="131">
        <v>22888</v>
      </c>
      <c r="B291" s="38" t="s">
        <v>245</v>
      </c>
      <c r="C291" s="82" t="s">
        <v>3</v>
      </c>
      <c r="D291" s="122">
        <v>6.9444444444444441E-3</v>
      </c>
      <c r="E291" s="122" t="s">
        <v>422</v>
      </c>
      <c r="F291" s="122" t="b">
        <v>1</v>
      </c>
      <c r="G291" s="83"/>
      <c r="H291" s="82"/>
      <c r="I291" s="78"/>
      <c r="J291" s="79"/>
      <c r="K291" s="80" t="b">
        <v>1</v>
      </c>
      <c r="L291" s="80" t="s">
        <v>424</v>
      </c>
      <c r="M291" s="179">
        <v>42020</v>
      </c>
    </row>
    <row r="292" spans="1:13" hidden="1" outlineLevel="2" x14ac:dyDescent="0.25">
      <c r="A292" s="131">
        <v>22885</v>
      </c>
      <c r="B292" s="84" t="s">
        <v>246</v>
      </c>
      <c r="C292" s="82" t="s">
        <v>3</v>
      </c>
      <c r="D292" s="122">
        <v>6.9444444444444441E-3</v>
      </c>
      <c r="E292" s="122" t="s">
        <v>422</v>
      </c>
      <c r="F292" s="122" t="b">
        <v>1</v>
      </c>
      <c r="G292" s="82" t="s">
        <v>247</v>
      </c>
      <c r="H292" s="86"/>
      <c r="I292" s="78"/>
      <c r="J292" s="79"/>
      <c r="K292" s="80" t="b">
        <v>1</v>
      </c>
      <c r="L292" s="80" t="s">
        <v>424</v>
      </c>
      <c r="M292" s="179">
        <v>42020</v>
      </c>
    </row>
    <row r="293" spans="1:13" hidden="1" outlineLevel="1" x14ac:dyDescent="0.25">
      <c r="A293" s="113"/>
      <c r="B293" s="12" t="s">
        <v>248</v>
      </c>
      <c r="C293" s="12"/>
      <c r="D293" s="121" t="e">
        <f>SumTestCase(Table_3[Run Time],Testcase_Color,Workflow_Color)</f>
        <v>#VALUE!</v>
      </c>
      <c r="E293" s="121"/>
      <c r="F293" s="121"/>
      <c r="G293" s="12"/>
      <c r="H293" s="12"/>
      <c r="I293" s="12"/>
      <c r="J293" s="12"/>
      <c r="K293" s="12"/>
      <c r="L293" s="12"/>
      <c r="M293" s="12"/>
    </row>
    <row r="294" spans="1:13" hidden="1" outlineLevel="2" x14ac:dyDescent="0.2">
      <c r="A294" s="131">
        <v>22886</v>
      </c>
      <c r="B294" s="26" t="s">
        <v>249</v>
      </c>
      <c r="C294" s="87" t="s">
        <v>3</v>
      </c>
      <c r="D294" s="122">
        <v>6.9444444444444441E-3</v>
      </c>
      <c r="E294" s="122" t="s">
        <v>422</v>
      </c>
      <c r="F294" s="122" t="b">
        <v>1</v>
      </c>
      <c r="G294" s="88"/>
      <c r="H294" s="87"/>
      <c r="I294" s="78"/>
      <c r="J294" s="79"/>
      <c r="K294" s="80" t="b">
        <v>1</v>
      </c>
      <c r="L294" s="80" t="s">
        <v>424</v>
      </c>
      <c r="M294" s="179">
        <v>42020</v>
      </c>
    </row>
    <row r="295" spans="1:13" hidden="1" outlineLevel="2" x14ac:dyDescent="0.2">
      <c r="A295" s="131">
        <v>22889</v>
      </c>
      <c r="B295" s="59" t="s">
        <v>250</v>
      </c>
      <c r="C295" s="87" t="s">
        <v>3</v>
      </c>
      <c r="D295" s="122">
        <v>8.3333333333333332E-3</v>
      </c>
      <c r="E295" s="122" t="s">
        <v>422</v>
      </c>
      <c r="F295" s="122" t="b">
        <v>1</v>
      </c>
      <c r="G295" s="88"/>
      <c r="H295" s="87"/>
      <c r="I295" s="78"/>
      <c r="J295" s="79"/>
      <c r="K295" s="80" t="b">
        <v>1</v>
      </c>
      <c r="L295" s="80" t="s">
        <v>424</v>
      </c>
      <c r="M295" s="179">
        <v>42020</v>
      </c>
    </row>
    <row r="296" spans="1:13" hidden="1" outlineLevel="2" x14ac:dyDescent="0.25">
      <c r="A296" s="131">
        <v>22890</v>
      </c>
      <c r="B296" s="89" t="s">
        <v>251</v>
      </c>
      <c r="C296" s="87" t="s">
        <v>3</v>
      </c>
      <c r="D296" s="122">
        <v>1.1805555555555555E-2</v>
      </c>
      <c r="E296" s="122" t="s">
        <v>422</v>
      </c>
      <c r="F296" s="122" t="b">
        <v>1</v>
      </c>
      <c r="G296" s="88"/>
      <c r="H296" s="90"/>
      <c r="I296" s="78"/>
      <c r="J296" s="79"/>
      <c r="K296" s="80" t="b">
        <v>1</v>
      </c>
      <c r="L296" s="80" t="s">
        <v>424</v>
      </c>
      <c r="M296" s="179">
        <v>42020</v>
      </c>
    </row>
    <row r="297" spans="1:13" hidden="1" outlineLevel="2" x14ac:dyDescent="0.25">
      <c r="A297" s="131">
        <v>22961</v>
      </c>
      <c r="B297" s="38" t="s">
        <v>252</v>
      </c>
      <c r="C297" s="87" t="s">
        <v>3</v>
      </c>
      <c r="D297" s="122">
        <v>6.9444444444444441E-3</v>
      </c>
      <c r="E297" s="122" t="s">
        <v>422</v>
      </c>
      <c r="F297" s="122" t="b">
        <v>1</v>
      </c>
      <c r="G297" s="88"/>
      <c r="H297" s="87"/>
      <c r="I297" s="78"/>
      <c r="J297" s="79"/>
      <c r="K297" s="80" t="b">
        <v>1</v>
      </c>
      <c r="L297" s="80" t="s">
        <v>424</v>
      </c>
      <c r="M297" s="179">
        <v>42020</v>
      </c>
    </row>
    <row r="298" spans="1:13" hidden="1" outlineLevel="2" x14ac:dyDescent="0.25">
      <c r="A298" s="131">
        <v>22870</v>
      </c>
      <c r="B298" s="38" t="s">
        <v>253</v>
      </c>
      <c r="C298" s="87" t="s">
        <v>3</v>
      </c>
      <c r="D298" s="122">
        <v>1.7361111111111112E-2</v>
      </c>
      <c r="E298" s="122" t="s">
        <v>422</v>
      </c>
      <c r="F298" s="122" t="b">
        <v>1</v>
      </c>
      <c r="G298" s="88"/>
      <c r="H298" s="87"/>
      <c r="I298" s="78"/>
      <c r="J298" s="79"/>
      <c r="K298" s="80" t="b">
        <v>1</v>
      </c>
      <c r="L298" s="80" t="s">
        <v>424</v>
      </c>
      <c r="M298" s="179">
        <v>42020</v>
      </c>
    </row>
    <row r="299" spans="1:13" hidden="1" outlineLevel="2" x14ac:dyDescent="0.25">
      <c r="A299" s="131">
        <v>22876</v>
      </c>
      <c r="B299" s="38" t="s">
        <v>254</v>
      </c>
      <c r="C299" s="82" t="s">
        <v>3</v>
      </c>
      <c r="D299" s="122">
        <v>4.8611111111111112E-3</v>
      </c>
      <c r="E299" s="122" t="s">
        <v>422</v>
      </c>
      <c r="F299" s="122" t="b">
        <v>1</v>
      </c>
      <c r="G299" s="88"/>
      <c r="H299" s="82"/>
      <c r="I299" s="78"/>
      <c r="J299" s="79"/>
      <c r="K299" s="80" t="b">
        <v>1</v>
      </c>
      <c r="L299" s="80" t="s">
        <v>424</v>
      </c>
      <c r="M299" s="179">
        <v>42020</v>
      </c>
    </row>
    <row r="300" spans="1:13" hidden="1" outlineLevel="1" x14ac:dyDescent="0.25">
      <c r="A300" s="113"/>
      <c r="B300" s="12" t="s">
        <v>255</v>
      </c>
      <c r="C300" s="12"/>
      <c r="D300" s="121" t="e">
        <f>SumTestCase(Table_3[Run Time],Testcase_Color,Workflow_Color)</f>
        <v>#VALUE!</v>
      </c>
      <c r="E300" s="121"/>
      <c r="F300" s="121"/>
      <c r="G300" s="12"/>
      <c r="H300" s="12"/>
      <c r="I300" s="12"/>
      <c r="J300" s="12"/>
      <c r="K300" s="12"/>
      <c r="L300" s="12"/>
      <c r="M300" s="12"/>
    </row>
    <row r="301" spans="1:13" hidden="1" outlineLevel="2" x14ac:dyDescent="0.2">
      <c r="A301" s="131">
        <v>23012</v>
      </c>
      <c r="B301" s="26" t="s">
        <v>256</v>
      </c>
      <c r="C301" s="91" t="s">
        <v>3</v>
      </c>
      <c r="D301" s="122">
        <v>3.472222222222222E-3</v>
      </c>
      <c r="E301" s="122" t="s">
        <v>422</v>
      </c>
      <c r="F301" s="122" t="b">
        <v>1</v>
      </c>
      <c r="G301" s="30" t="s">
        <v>257</v>
      </c>
      <c r="H301" s="86"/>
      <c r="I301" s="78"/>
      <c r="J301" s="79"/>
      <c r="K301" s="80" t="b">
        <v>1</v>
      </c>
      <c r="L301" s="80" t="s">
        <v>424</v>
      </c>
      <c r="M301" s="179">
        <v>42020</v>
      </c>
    </row>
    <row r="302" spans="1:13" hidden="1" outlineLevel="2" x14ac:dyDescent="0.25">
      <c r="A302" s="131">
        <v>23021</v>
      </c>
      <c r="B302" s="89" t="s">
        <v>258</v>
      </c>
      <c r="C302" s="91" t="s">
        <v>3</v>
      </c>
      <c r="D302" s="122">
        <v>4.1666666666666666E-3</v>
      </c>
      <c r="E302" s="122" t="s">
        <v>422</v>
      </c>
      <c r="F302" s="122" t="b">
        <v>1</v>
      </c>
      <c r="G302" s="92"/>
      <c r="H302" s="91"/>
      <c r="I302" s="78"/>
      <c r="J302" s="79"/>
      <c r="K302" s="80" t="b">
        <v>1</v>
      </c>
      <c r="L302" s="80" t="s">
        <v>424</v>
      </c>
      <c r="M302" s="179">
        <v>42020</v>
      </c>
    </row>
    <row r="303" spans="1:13" hidden="1" outlineLevel="2" x14ac:dyDescent="0.25">
      <c r="A303" s="131">
        <v>23033</v>
      </c>
      <c r="B303" s="84" t="s">
        <v>259</v>
      </c>
      <c r="C303" s="91" t="s">
        <v>3</v>
      </c>
      <c r="D303" s="122">
        <v>4.1666666666666666E-3</v>
      </c>
      <c r="E303" s="122" t="s">
        <v>422</v>
      </c>
      <c r="F303" s="122" t="b">
        <v>1</v>
      </c>
      <c r="G303" s="92"/>
      <c r="H303" s="91"/>
      <c r="I303" s="78"/>
      <c r="J303" s="79"/>
      <c r="K303" s="80" t="b">
        <v>1</v>
      </c>
      <c r="L303" s="80" t="s">
        <v>424</v>
      </c>
      <c r="M303" s="179">
        <v>42020</v>
      </c>
    </row>
    <row r="304" spans="1:13" hidden="1" outlineLevel="2" x14ac:dyDescent="0.2">
      <c r="A304" s="131">
        <v>23019</v>
      </c>
      <c r="B304" s="59" t="s">
        <v>260</v>
      </c>
      <c r="C304" s="91" t="s">
        <v>3</v>
      </c>
      <c r="D304" s="122">
        <v>1.3888888888888889E-3</v>
      </c>
      <c r="E304" s="122" t="s">
        <v>422</v>
      </c>
      <c r="F304" s="122" t="b">
        <v>1</v>
      </c>
      <c r="G304" s="92"/>
      <c r="H304" s="91"/>
      <c r="I304" s="78"/>
      <c r="J304" s="79"/>
      <c r="K304" s="80" t="b">
        <v>1</v>
      </c>
      <c r="L304" s="80" t="s">
        <v>424</v>
      </c>
      <c r="M304" s="179">
        <v>42020</v>
      </c>
    </row>
    <row r="305" spans="1:13" hidden="1" outlineLevel="2" x14ac:dyDescent="0.25">
      <c r="A305" s="131">
        <v>32922</v>
      </c>
      <c r="B305" s="61" t="s">
        <v>261</v>
      </c>
      <c r="C305" s="91" t="s">
        <v>3</v>
      </c>
      <c r="D305" s="122">
        <v>6.9444444444444441E-3</v>
      </c>
      <c r="E305" s="122" t="s">
        <v>422</v>
      </c>
      <c r="F305" s="122" t="b">
        <v>1</v>
      </c>
      <c r="G305" s="92"/>
      <c r="H305" s="91"/>
      <c r="I305" s="78"/>
      <c r="J305" s="79"/>
      <c r="K305" s="80" t="b">
        <v>1</v>
      </c>
      <c r="L305" s="80" t="s">
        <v>424</v>
      </c>
      <c r="M305" s="179">
        <v>42020</v>
      </c>
    </row>
    <row r="306" spans="1:13" hidden="1" outlineLevel="2" x14ac:dyDescent="0.25">
      <c r="A306" s="131">
        <v>23018</v>
      </c>
      <c r="B306" s="116" t="s">
        <v>419</v>
      </c>
      <c r="C306" s="91" t="s">
        <v>3</v>
      </c>
      <c r="D306" s="122">
        <v>9.8148148148148144E-3</v>
      </c>
      <c r="E306" s="122" t="s">
        <v>422</v>
      </c>
      <c r="F306" s="122" t="b">
        <v>0</v>
      </c>
      <c r="G306" s="117"/>
      <c r="H306" s="118"/>
      <c r="I306" s="78">
        <v>24</v>
      </c>
      <c r="J306" s="79"/>
      <c r="K306" s="80" t="b">
        <v>1</v>
      </c>
      <c r="L306" s="80" t="s">
        <v>424</v>
      </c>
      <c r="M306" s="179">
        <v>42020</v>
      </c>
    </row>
    <row r="307" spans="1:13" hidden="1" outlineLevel="1" x14ac:dyDescent="0.25">
      <c r="A307" s="184"/>
      <c r="B307" s="12" t="s">
        <v>592</v>
      </c>
      <c r="C307" s="12"/>
      <c r="D307" s="121" t="e">
        <f>SumTestCase('Test Cases'!$D$307:$D$323,Testcase_Color,Workflow_Color)</f>
        <v>#VALUE!</v>
      </c>
      <c r="E307" s="121"/>
      <c r="F307" s="121"/>
      <c r="G307" s="12"/>
      <c r="H307" s="12"/>
      <c r="I307" s="12"/>
      <c r="J307" s="12"/>
      <c r="K307" s="12"/>
      <c r="L307" s="12"/>
      <c r="M307" s="185"/>
    </row>
    <row r="308" spans="1:13" hidden="1" outlineLevel="2" x14ac:dyDescent="0.25">
      <c r="A308" s="186">
        <v>22925</v>
      </c>
      <c r="B308" s="20" t="s">
        <v>262</v>
      </c>
      <c r="C308" s="187" t="s">
        <v>3</v>
      </c>
      <c r="D308" s="122">
        <v>1.3194444444444444E-2</v>
      </c>
      <c r="E308" s="122" t="s">
        <v>423</v>
      </c>
      <c r="F308" s="122" t="b">
        <v>1</v>
      </c>
      <c r="G308" s="188" t="s">
        <v>263</v>
      </c>
      <c r="H308" s="174" t="s">
        <v>553</v>
      </c>
      <c r="I308" s="188"/>
      <c r="J308" s="34"/>
      <c r="K308" s="35" t="b">
        <v>1</v>
      </c>
      <c r="L308" s="35" t="s">
        <v>424</v>
      </c>
      <c r="M308" s="189">
        <v>42069.564606481479</v>
      </c>
    </row>
    <row r="309" spans="1:13" hidden="1" outlineLevel="2" x14ac:dyDescent="0.25">
      <c r="A309" s="186">
        <v>22873</v>
      </c>
      <c r="B309" s="61" t="s">
        <v>264</v>
      </c>
      <c r="C309" s="187" t="s">
        <v>3</v>
      </c>
      <c r="D309" s="122">
        <v>2.7777777777777779E-3</v>
      </c>
      <c r="E309" s="122" t="s">
        <v>423</v>
      </c>
      <c r="F309" s="122" t="b">
        <v>0</v>
      </c>
      <c r="G309" s="188" t="s">
        <v>263</v>
      </c>
      <c r="H309" s="190"/>
      <c r="I309" s="188"/>
      <c r="J309" s="34"/>
      <c r="K309" s="35" t="b">
        <v>1</v>
      </c>
      <c r="L309" s="35" t="s">
        <v>424</v>
      </c>
      <c r="M309" s="189">
        <v>42020</v>
      </c>
    </row>
    <row r="310" spans="1:13" hidden="1" outlineLevel="2" x14ac:dyDescent="0.25">
      <c r="A310" s="186">
        <v>22875</v>
      </c>
      <c r="B310" s="61" t="s">
        <v>265</v>
      </c>
      <c r="C310" s="187" t="s">
        <v>3</v>
      </c>
      <c r="D310" s="122">
        <v>2.7777777777777779E-3</v>
      </c>
      <c r="E310" s="122" t="s">
        <v>423</v>
      </c>
      <c r="F310" s="122" t="b">
        <v>0</v>
      </c>
      <c r="G310" s="188" t="s">
        <v>263</v>
      </c>
      <c r="H310" s="190"/>
      <c r="I310" s="188"/>
      <c r="J310" s="34"/>
      <c r="K310" s="35" t="b">
        <v>1</v>
      </c>
      <c r="L310" s="35" t="s">
        <v>424</v>
      </c>
      <c r="M310" s="189">
        <v>42020</v>
      </c>
    </row>
    <row r="311" spans="1:13" ht="30" hidden="1" outlineLevel="2" x14ac:dyDescent="0.25">
      <c r="A311" s="186">
        <v>22874</v>
      </c>
      <c r="B311" s="15" t="s">
        <v>266</v>
      </c>
      <c r="C311" s="187" t="s">
        <v>3</v>
      </c>
      <c r="D311" s="122">
        <v>1.1805555555555555E-2</v>
      </c>
      <c r="E311" s="122" t="s">
        <v>423</v>
      </c>
      <c r="F311" s="122" t="b">
        <v>0</v>
      </c>
      <c r="G311" s="187" t="s">
        <v>267</v>
      </c>
      <c r="H311" s="190"/>
      <c r="I311" s="187"/>
      <c r="J311" s="34"/>
      <c r="K311" s="35" t="b">
        <v>1</v>
      </c>
      <c r="L311" s="35" t="s">
        <v>424</v>
      </c>
      <c r="M311" s="191">
        <v>42020</v>
      </c>
    </row>
    <row r="312" spans="1:13" hidden="1" outlineLevel="1" x14ac:dyDescent="0.25">
      <c r="A312" s="184"/>
      <c r="B312" s="12" t="s">
        <v>593</v>
      </c>
      <c r="C312" s="12"/>
      <c r="D312" s="121" t="e">
        <f>SumTestCase('Test Cases'!$D$307:$D$323,Testcase_Color,Workflow_Color)</f>
        <v>#VALUE!</v>
      </c>
      <c r="E312" s="121"/>
      <c r="F312" s="121"/>
      <c r="G312" s="12"/>
      <c r="H312" s="12"/>
      <c r="I312" s="12"/>
      <c r="J312" s="12"/>
      <c r="K312" s="12"/>
      <c r="L312" s="12"/>
      <c r="M312" s="185"/>
    </row>
    <row r="313" spans="1:13" ht="45" hidden="1" outlineLevel="2" x14ac:dyDescent="0.25">
      <c r="A313" s="186">
        <v>22871</v>
      </c>
      <c r="B313" s="31" t="s">
        <v>268</v>
      </c>
      <c r="C313" s="187" t="s">
        <v>3</v>
      </c>
      <c r="D313" s="122">
        <v>1.7361111111111112E-2</v>
      </c>
      <c r="E313" s="122" t="s">
        <v>423</v>
      </c>
      <c r="F313" s="122" t="b">
        <v>1</v>
      </c>
      <c r="G313" s="188" t="s">
        <v>490</v>
      </c>
      <c r="H313" s="156" t="s">
        <v>491</v>
      </c>
      <c r="I313" s="42"/>
      <c r="J313" s="34"/>
      <c r="K313" s="35" t="b">
        <v>1</v>
      </c>
      <c r="L313" s="35" t="s">
        <v>424</v>
      </c>
      <c r="M313" s="192">
        <v>42020</v>
      </c>
    </row>
    <row r="314" spans="1:13" customFormat="1" hidden="1" outlineLevel="2" x14ac:dyDescent="0.25">
      <c r="A314" s="186">
        <v>22887</v>
      </c>
      <c r="B314" s="61" t="s">
        <v>269</v>
      </c>
      <c r="C314" s="187" t="s">
        <v>3</v>
      </c>
      <c r="D314" s="122">
        <v>2.7777777777777779E-3</v>
      </c>
      <c r="E314" s="122" t="s">
        <v>423</v>
      </c>
      <c r="F314" s="122" t="b">
        <v>1</v>
      </c>
      <c r="G314" s="88"/>
      <c r="H314" s="193"/>
      <c r="I314" s="187"/>
      <c r="J314" s="115"/>
      <c r="K314" s="35" t="b">
        <v>1</v>
      </c>
      <c r="L314" s="35" t="s">
        <v>424</v>
      </c>
      <c r="M314" s="191">
        <v>42020</v>
      </c>
    </row>
    <row r="315" spans="1:13" customFormat="1" hidden="1" outlineLevel="2" x14ac:dyDescent="0.25">
      <c r="A315" s="186">
        <v>22891</v>
      </c>
      <c r="B315" s="20" t="s">
        <v>270</v>
      </c>
      <c r="C315" s="187" t="s">
        <v>3</v>
      </c>
      <c r="D315" s="122">
        <v>9.0277777777777787E-3</v>
      </c>
      <c r="E315" s="122" t="s">
        <v>423</v>
      </c>
      <c r="F315" s="122" t="b">
        <v>1</v>
      </c>
      <c r="G315" s="88"/>
      <c r="H315" s="144"/>
      <c r="I315" s="187"/>
      <c r="J315" s="194"/>
      <c r="K315" s="35" t="b">
        <v>1</v>
      </c>
      <c r="L315" s="35" t="s">
        <v>424</v>
      </c>
      <c r="M315" s="191">
        <v>42020</v>
      </c>
    </row>
    <row r="316" spans="1:13" customFormat="1" hidden="1" outlineLevel="2" x14ac:dyDescent="0.25">
      <c r="A316" s="186">
        <v>22892</v>
      </c>
      <c r="B316" s="20" t="s">
        <v>271</v>
      </c>
      <c r="C316" s="187" t="s">
        <v>3</v>
      </c>
      <c r="D316" s="122">
        <v>1.3888888888888889E-3</v>
      </c>
      <c r="E316" s="122" t="s">
        <v>423</v>
      </c>
      <c r="F316" s="122" t="b">
        <v>1</v>
      </c>
      <c r="G316" s="88"/>
      <c r="H316" s="193"/>
      <c r="I316" s="187"/>
      <c r="J316" s="194"/>
      <c r="K316" s="35" t="b">
        <v>1</v>
      </c>
      <c r="L316" s="35" t="s">
        <v>424</v>
      </c>
      <c r="M316" s="191">
        <v>42020</v>
      </c>
    </row>
    <row r="317" spans="1:13" customFormat="1" hidden="1" outlineLevel="2" x14ac:dyDescent="0.25">
      <c r="A317" s="186">
        <v>22888</v>
      </c>
      <c r="B317" s="15" t="s">
        <v>272</v>
      </c>
      <c r="C317" s="187" t="s">
        <v>3</v>
      </c>
      <c r="D317" s="122">
        <v>1.1805555555555555E-2</v>
      </c>
      <c r="E317" s="122" t="s">
        <v>423</v>
      </c>
      <c r="F317" s="122" t="b">
        <v>1</v>
      </c>
      <c r="G317" s="88"/>
      <c r="H317" s="193"/>
      <c r="I317" s="187"/>
      <c r="J317" s="115"/>
      <c r="K317" s="35" t="b">
        <v>1</v>
      </c>
      <c r="L317" s="35" t="s">
        <v>424</v>
      </c>
      <c r="M317" s="191">
        <v>42020</v>
      </c>
    </row>
    <row r="318" spans="1:13" customFormat="1" hidden="1" outlineLevel="2" x14ac:dyDescent="0.25">
      <c r="A318" s="186">
        <v>22883</v>
      </c>
      <c r="B318" s="15" t="s">
        <v>273</v>
      </c>
      <c r="C318" s="187" t="s">
        <v>3</v>
      </c>
      <c r="D318" s="122">
        <v>1.7476851851851852E-3</v>
      </c>
      <c r="E318" s="122" t="s">
        <v>423</v>
      </c>
      <c r="F318" s="122" t="b">
        <v>1</v>
      </c>
      <c r="G318" s="88"/>
      <c r="H318" s="193"/>
      <c r="I318" s="187"/>
      <c r="J318" s="115"/>
      <c r="K318" s="35" t="b">
        <v>1</v>
      </c>
      <c r="L318" s="35" t="s">
        <v>424</v>
      </c>
      <c r="M318" s="191">
        <v>42020</v>
      </c>
    </row>
    <row r="319" spans="1:13" customFormat="1" hidden="1" outlineLevel="2" x14ac:dyDescent="0.25">
      <c r="A319" s="186">
        <v>22885</v>
      </c>
      <c r="B319" s="61" t="s">
        <v>274</v>
      </c>
      <c r="C319" s="187" t="s">
        <v>3</v>
      </c>
      <c r="D319" s="122">
        <v>2.0833333333333333E-3</v>
      </c>
      <c r="E319" s="122" t="s">
        <v>423</v>
      </c>
      <c r="F319" s="122" t="b">
        <v>1</v>
      </c>
      <c r="G319" s="88"/>
      <c r="H319" s="195"/>
      <c r="I319" s="187"/>
      <c r="J319" s="115"/>
      <c r="K319" s="35" t="b">
        <v>1</v>
      </c>
      <c r="L319" s="35" t="s">
        <v>424</v>
      </c>
      <c r="M319" s="191">
        <v>42020</v>
      </c>
    </row>
    <row r="320" spans="1:13" customFormat="1" hidden="1" outlineLevel="1" x14ac:dyDescent="0.25">
      <c r="A320" s="184"/>
      <c r="B320" s="12" t="s">
        <v>594</v>
      </c>
      <c r="C320" s="12"/>
      <c r="D320" s="121" t="e">
        <f>SumTestCase('Test Cases'!$D$307:$D$323,Testcase_Color,Workflow_Color)</f>
        <v>#VALUE!</v>
      </c>
      <c r="E320" s="162"/>
      <c r="F320" s="162"/>
      <c r="G320" s="93"/>
      <c r="H320" s="93"/>
      <c r="I320" s="12"/>
      <c r="J320" s="12"/>
      <c r="K320" s="12"/>
      <c r="L320" s="12"/>
      <c r="M320" s="185"/>
    </row>
    <row r="321" spans="1:14" customFormat="1" ht="60" hidden="1" outlineLevel="2" x14ac:dyDescent="0.25">
      <c r="A321" s="186">
        <v>22886</v>
      </c>
      <c r="B321" s="15" t="s">
        <v>275</v>
      </c>
      <c r="C321" s="60" t="s">
        <v>3</v>
      </c>
      <c r="D321" s="122">
        <v>4.8611111111111112E-3</v>
      </c>
      <c r="E321" s="122" t="s">
        <v>423</v>
      </c>
      <c r="F321" s="122" t="b">
        <v>1</v>
      </c>
      <c r="G321" s="188" t="s">
        <v>276</v>
      </c>
      <c r="H321" s="196"/>
      <c r="I321" s="187"/>
      <c r="J321" s="197"/>
      <c r="K321" s="35" t="b">
        <v>1</v>
      </c>
      <c r="L321" s="35" t="s">
        <v>424</v>
      </c>
      <c r="M321" s="191">
        <v>42020</v>
      </c>
    </row>
    <row r="322" spans="1:14" customFormat="1" hidden="1" outlineLevel="2" x14ac:dyDescent="0.25">
      <c r="A322" s="186">
        <v>22889</v>
      </c>
      <c r="B322" s="61" t="s">
        <v>277</v>
      </c>
      <c r="C322" s="60" t="s">
        <v>3</v>
      </c>
      <c r="D322" s="122">
        <v>1.0416666666666666E-2</v>
      </c>
      <c r="E322" s="122" t="s">
        <v>423</v>
      </c>
      <c r="F322" s="122" t="b">
        <v>1</v>
      </c>
      <c r="G322" s="88"/>
      <c r="H322" s="193"/>
      <c r="I322" s="187"/>
      <c r="J322" s="115"/>
      <c r="K322" s="35" t="b">
        <v>1</v>
      </c>
      <c r="L322" s="35" t="s">
        <v>424</v>
      </c>
      <c r="M322" s="191">
        <v>42020</v>
      </c>
    </row>
    <row r="323" spans="1:14" customFormat="1" hidden="1" outlineLevel="2" x14ac:dyDescent="0.25">
      <c r="A323" s="198">
        <v>22870</v>
      </c>
      <c r="B323" s="199" t="s">
        <v>278</v>
      </c>
      <c r="C323" s="200" t="s">
        <v>3</v>
      </c>
      <c r="D323" s="201">
        <v>2.0833333333333332E-2</v>
      </c>
      <c r="E323" s="201" t="s">
        <v>423</v>
      </c>
      <c r="F323" s="201" t="b">
        <v>1</v>
      </c>
      <c r="G323" s="202"/>
      <c r="H323" s="203"/>
      <c r="I323" s="204"/>
      <c r="J323" s="199"/>
      <c r="K323" s="205" t="b">
        <v>1</v>
      </c>
      <c r="L323" s="205" t="s">
        <v>424</v>
      </c>
      <c r="M323" s="206">
        <v>42020</v>
      </c>
    </row>
    <row r="325" spans="1:14" ht="35.25" customHeight="1" x14ac:dyDescent="0.25">
      <c r="B325" s="77" t="s">
        <v>611</v>
      </c>
      <c r="C325" s="271"/>
      <c r="D325" s="271"/>
      <c r="E325" s="271"/>
      <c r="F325" s="272"/>
      <c r="G325" s="272"/>
      <c r="H325" s="272"/>
      <c r="I325" s="272"/>
      <c r="J325" s="272"/>
      <c r="K325" s="272"/>
      <c r="L325" s="272"/>
      <c r="M325" s="272"/>
      <c r="N325" s="272"/>
    </row>
    <row r="326" spans="1:14" s="25" customFormat="1" ht="30" collapsed="1" x14ac:dyDescent="0.25">
      <c r="A326" s="21" t="s">
        <v>0</v>
      </c>
      <c r="B326" s="21" t="s">
        <v>1</v>
      </c>
      <c r="C326" s="21" t="s">
        <v>2</v>
      </c>
      <c r="D326" s="21" t="s">
        <v>420</v>
      </c>
      <c r="E326" s="21" t="s">
        <v>556</v>
      </c>
      <c r="F326" s="21" t="s">
        <v>507</v>
      </c>
      <c r="G326" s="21" t="s">
        <v>4</v>
      </c>
      <c r="H326" s="21" t="s">
        <v>31</v>
      </c>
      <c r="I326" s="22" t="s">
        <v>511</v>
      </c>
      <c r="J326" s="23" t="s">
        <v>510</v>
      </c>
      <c r="K326" s="24" t="s">
        <v>508</v>
      </c>
      <c r="L326" s="22" t="s">
        <v>509</v>
      </c>
      <c r="M326" s="22" t="s">
        <v>554</v>
      </c>
      <c r="N326" s="54"/>
    </row>
    <row r="327" spans="1:14" hidden="1" outlineLevel="1" x14ac:dyDescent="0.25">
      <c r="A327" s="12"/>
      <c r="B327" s="12" t="s">
        <v>279</v>
      </c>
      <c r="C327" s="12"/>
      <c r="D327" s="121" t="e">
        <f>SumTestCase(Table_4[Run Time],Testcase_Color,Workflow_Color)</f>
        <v>#VALUE!</v>
      </c>
      <c r="E327" s="121"/>
      <c r="F327" s="121"/>
      <c r="G327" s="12"/>
      <c r="H327" s="12"/>
      <c r="I327" s="12"/>
      <c r="J327" s="12"/>
      <c r="K327" s="12"/>
      <c r="L327" s="12"/>
      <c r="M327" s="12"/>
    </row>
    <row r="328" spans="1:14" hidden="1" outlineLevel="2" x14ac:dyDescent="0.2">
      <c r="A328" s="14">
        <v>23376</v>
      </c>
      <c r="B328" s="26" t="s">
        <v>280</v>
      </c>
      <c r="C328" s="91" t="s">
        <v>3</v>
      </c>
      <c r="D328" s="122">
        <v>3.2754629629629631E-3</v>
      </c>
      <c r="E328" s="122" t="s">
        <v>422</v>
      </c>
      <c r="F328" s="122" t="b">
        <v>1</v>
      </c>
      <c r="G328" s="82"/>
      <c r="H328" s="91"/>
      <c r="I328" s="78"/>
      <c r="J328" s="79"/>
      <c r="K328" s="80" t="b">
        <v>1</v>
      </c>
      <c r="L328" s="80" t="s">
        <v>424</v>
      </c>
      <c r="M328" s="179">
        <v>42020</v>
      </c>
    </row>
    <row r="329" spans="1:14" hidden="1" outlineLevel="2" x14ac:dyDescent="0.2">
      <c r="A329" s="14">
        <v>23375</v>
      </c>
      <c r="B329" s="26" t="s">
        <v>281</v>
      </c>
      <c r="C329" s="91" t="s">
        <v>3</v>
      </c>
      <c r="D329" s="122">
        <v>5.6712962962962956E-4</v>
      </c>
      <c r="E329" s="122" t="s">
        <v>422</v>
      </c>
      <c r="F329" s="122" t="b">
        <v>1</v>
      </c>
      <c r="G329" s="82"/>
      <c r="H329" s="91"/>
      <c r="I329" s="78"/>
      <c r="J329" s="79"/>
      <c r="K329" s="80" t="b">
        <v>1</v>
      </c>
      <c r="L329" s="80" t="s">
        <v>424</v>
      </c>
      <c r="M329" s="179">
        <v>42020</v>
      </c>
    </row>
    <row r="330" spans="1:14" hidden="1" outlineLevel="2" x14ac:dyDescent="0.2">
      <c r="A330" s="14">
        <v>23378</v>
      </c>
      <c r="B330" s="26" t="s">
        <v>282</v>
      </c>
      <c r="C330" s="91" t="s">
        <v>3</v>
      </c>
      <c r="D330" s="122">
        <v>9.6064814814814808E-4</v>
      </c>
      <c r="E330" s="122" t="s">
        <v>422</v>
      </c>
      <c r="F330" s="122" t="b">
        <v>1</v>
      </c>
      <c r="G330" s="82"/>
      <c r="H330" s="91"/>
      <c r="I330" s="78"/>
      <c r="J330" s="79"/>
      <c r="K330" s="80" t="b">
        <v>1</v>
      </c>
      <c r="L330" s="80" t="s">
        <v>424</v>
      </c>
      <c r="M330" s="179">
        <v>42020</v>
      </c>
    </row>
    <row r="331" spans="1:14" hidden="1" outlineLevel="2" x14ac:dyDescent="0.2">
      <c r="A331" s="14">
        <v>23377</v>
      </c>
      <c r="B331" s="26" t="s">
        <v>283</v>
      </c>
      <c r="C331" s="91" t="s">
        <v>3</v>
      </c>
      <c r="D331" s="122">
        <v>6.8287037037037025E-4</v>
      </c>
      <c r="E331" s="122" t="s">
        <v>422</v>
      </c>
      <c r="F331" s="122" t="b">
        <v>1</v>
      </c>
      <c r="G331" s="82"/>
      <c r="H331" s="91"/>
      <c r="I331" s="78"/>
      <c r="J331" s="79"/>
      <c r="K331" s="80" t="b">
        <v>1</v>
      </c>
      <c r="L331" s="80" t="s">
        <v>424</v>
      </c>
      <c r="M331" s="179">
        <v>42020</v>
      </c>
    </row>
    <row r="332" spans="1:14" hidden="1" outlineLevel="2" x14ac:dyDescent="0.2">
      <c r="A332" s="14">
        <v>23379</v>
      </c>
      <c r="B332" s="26" t="s">
        <v>284</v>
      </c>
      <c r="C332" s="91" t="s">
        <v>3</v>
      </c>
      <c r="D332" s="122">
        <v>4.6296296296296293E-4</v>
      </c>
      <c r="E332" s="122" t="s">
        <v>422</v>
      </c>
      <c r="F332" s="122" t="b">
        <v>1</v>
      </c>
      <c r="G332" s="82"/>
      <c r="H332" s="91"/>
      <c r="I332" s="78"/>
      <c r="J332" s="79"/>
      <c r="K332" s="80" t="b">
        <v>1</v>
      </c>
      <c r="L332" s="80" t="s">
        <v>424</v>
      </c>
      <c r="M332" s="179">
        <v>42020</v>
      </c>
    </row>
    <row r="333" spans="1:14" hidden="1" outlineLevel="2" x14ac:dyDescent="0.2">
      <c r="A333" s="14">
        <v>23383</v>
      </c>
      <c r="B333" s="26" t="s">
        <v>285</v>
      </c>
      <c r="C333" s="91" t="s">
        <v>3</v>
      </c>
      <c r="D333" s="122">
        <v>5.9027777777777778E-4</v>
      </c>
      <c r="E333" s="122" t="s">
        <v>422</v>
      </c>
      <c r="F333" s="122" t="b">
        <v>1</v>
      </c>
      <c r="G333" s="82"/>
      <c r="H333" s="91"/>
      <c r="I333" s="78"/>
      <c r="J333" s="79"/>
      <c r="K333" s="80" t="b">
        <v>1</v>
      </c>
      <c r="L333" s="80" t="s">
        <v>424</v>
      </c>
      <c r="M333" s="179">
        <v>42020</v>
      </c>
    </row>
    <row r="334" spans="1:14" hidden="1" outlineLevel="2" x14ac:dyDescent="0.2">
      <c r="A334" s="14">
        <v>23380</v>
      </c>
      <c r="B334" s="26" t="s">
        <v>286</v>
      </c>
      <c r="C334" s="91" t="s">
        <v>3</v>
      </c>
      <c r="D334" s="122">
        <v>6.018518518518519E-4</v>
      </c>
      <c r="E334" s="122" t="s">
        <v>422</v>
      </c>
      <c r="F334" s="122" t="b">
        <v>1</v>
      </c>
      <c r="G334" s="82"/>
      <c r="H334" s="91"/>
      <c r="I334" s="78"/>
      <c r="J334" s="79"/>
      <c r="K334" s="80" t="b">
        <v>1</v>
      </c>
      <c r="L334" s="80" t="s">
        <v>424</v>
      </c>
      <c r="M334" s="179">
        <v>42020</v>
      </c>
    </row>
    <row r="335" spans="1:14" hidden="1" outlineLevel="2" x14ac:dyDescent="0.2">
      <c r="A335" s="14">
        <v>23381</v>
      </c>
      <c r="B335" s="26" t="s">
        <v>287</v>
      </c>
      <c r="C335" s="91" t="s">
        <v>3</v>
      </c>
      <c r="D335" s="122">
        <v>6.8287037037037025E-4</v>
      </c>
      <c r="E335" s="122" t="s">
        <v>422</v>
      </c>
      <c r="F335" s="122" t="b">
        <v>1</v>
      </c>
      <c r="G335" s="82"/>
      <c r="H335" s="91"/>
      <c r="I335" s="78"/>
      <c r="J335" s="79"/>
      <c r="K335" s="80" t="b">
        <v>1</v>
      </c>
      <c r="L335" s="80" t="s">
        <v>424</v>
      </c>
      <c r="M335" s="179">
        <v>42020</v>
      </c>
    </row>
    <row r="336" spans="1:14" hidden="1" outlineLevel="1" x14ac:dyDescent="0.25">
      <c r="A336" s="12"/>
      <c r="B336" s="12" t="s">
        <v>288</v>
      </c>
      <c r="C336" s="12"/>
      <c r="D336" s="121" t="e">
        <f>SumTestCase(Table_4[Run Time],Testcase_Color,Workflow_Color)</f>
        <v>#VALUE!</v>
      </c>
      <c r="E336" s="121"/>
      <c r="F336" s="121"/>
      <c r="G336" s="12"/>
      <c r="H336" s="12"/>
      <c r="I336" s="12"/>
      <c r="J336" s="12"/>
      <c r="K336" s="12"/>
      <c r="L336" s="12"/>
      <c r="M336" s="12"/>
    </row>
    <row r="337" spans="1:13" hidden="1" outlineLevel="2" x14ac:dyDescent="0.25">
      <c r="A337" s="14">
        <v>23373</v>
      </c>
      <c r="B337" s="84" t="s">
        <v>289</v>
      </c>
      <c r="C337" s="91" t="s">
        <v>3</v>
      </c>
      <c r="D337" s="122">
        <v>7.2106481481481475E-3</v>
      </c>
      <c r="E337" s="122" t="s">
        <v>422</v>
      </c>
      <c r="F337" s="122" t="b">
        <v>1</v>
      </c>
      <c r="G337" s="82"/>
      <c r="H337" s="91"/>
      <c r="I337" s="78"/>
      <c r="J337" s="79"/>
      <c r="K337" s="80" t="b">
        <v>1</v>
      </c>
      <c r="L337" s="80" t="s">
        <v>424</v>
      </c>
      <c r="M337" s="179">
        <v>42020</v>
      </c>
    </row>
    <row r="338" spans="1:13" hidden="1" outlineLevel="2" x14ac:dyDescent="0.25">
      <c r="A338" s="14">
        <v>23374</v>
      </c>
      <c r="B338" s="84" t="s">
        <v>290</v>
      </c>
      <c r="C338" s="91" t="s">
        <v>3</v>
      </c>
      <c r="D338" s="122">
        <v>9.7222222222222209E-4</v>
      </c>
      <c r="E338" s="122" t="s">
        <v>422</v>
      </c>
      <c r="F338" s="122" t="b">
        <v>1</v>
      </c>
      <c r="G338" s="82"/>
      <c r="H338" s="91"/>
      <c r="I338" s="78"/>
      <c r="J338" s="79"/>
      <c r="K338" s="80" t="b">
        <v>1</v>
      </c>
      <c r="L338" s="80" t="s">
        <v>424</v>
      </c>
      <c r="M338" s="179">
        <v>42020</v>
      </c>
    </row>
    <row r="339" spans="1:13" hidden="1" outlineLevel="2" x14ac:dyDescent="0.2">
      <c r="A339" s="14">
        <v>23372</v>
      </c>
      <c r="B339" s="26" t="s">
        <v>291</v>
      </c>
      <c r="C339" s="91" t="s">
        <v>3</v>
      </c>
      <c r="D339" s="122">
        <v>1.2152777777777778E-3</v>
      </c>
      <c r="E339" s="122" t="s">
        <v>422</v>
      </c>
      <c r="F339" s="122" t="b">
        <v>1</v>
      </c>
      <c r="G339" s="82"/>
      <c r="H339" s="91"/>
      <c r="I339" s="78"/>
      <c r="J339" s="79"/>
      <c r="K339" s="80" t="b">
        <v>1</v>
      </c>
      <c r="L339" s="80" t="s">
        <v>424</v>
      </c>
      <c r="M339" s="179">
        <v>42020</v>
      </c>
    </row>
    <row r="340" spans="1:13" hidden="1" outlineLevel="2" x14ac:dyDescent="0.2">
      <c r="A340" s="14">
        <v>23386</v>
      </c>
      <c r="B340" s="26" t="s">
        <v>292</v>
      </c>
      <c r="C340" s="91" t="s">
        <v>3</v>
      </c>
      <c r="D340" s="122">
        <v>1.8055555555555557E-3</v>
      </c>
      <c r="E340" s="122" t="s">
        <v>422</v>
      </c>
      <c r="F340" s="122" t="b">
        <v>1</v>
      </c>
      <c r="G340" s="82"/>
      <c r="H340" s="91"/>
      <c r="I340" s="78"/>
      <c r="J340" s="79"/>
      <c r="K340" s="80" t="b">
        <v>1</v>
      </c>
      <c r="L340" s="80" t="s">
        <v>424</v>
      </c>
      <c r="M340" s="179">
        <v>42020</v>
      </c>
    </row>
    <row r="341" spans="1:13" hidden="1" outlineLevel="2" x14ac:dyDescent="0.25">
      <c r="A341" s="14">
        <v>23382</v>
      </c>
      <c r="B341" s="84" t="s">
        <v>293</v>
      </c>
      <c r="C341" s="91" t="s">
        <v>3</v>
      </c>
      <c r="D341" s="122">
        <v>1.3194444444444443E-3</v>
      </c>
      <c r="E341" s="122" t="s">
        <v>422</v>
      </c>
      <c r="F341" s="122" t="b">
        <v>1</v>
      </c>
      <c r="G341" s="82"/>
      <c r="H341" s="91"/>
      <c r="I341" s="78"/>
      <c r="J341" s="79"/>
      <c r="K341" s="80" t="b">
        <v>1</v>
      </c>
      <c r="L341" s="80" t="s">
        <v>424</v>
      </c>
      <c r="M341" s="179">
        <v>42020</v>
      </c>
    </row>
    <row r="342" spans="1:13" hidden="1" outlineLevel="2" x14ac:dyDescent="0.25">
      <c r="A342" s="14">
        <v>23384</v>
      </c>
      <c r="B342" s="84" t="s">
        <v>294</v>
      </c>
      <c r="C342" s="91" t="s">
        <v>3</v>
      </c>
      <c r="D342" s="122">
        <v>9.6064814814814808E-4</v>
      </c>
      <c r="E342" s="122" t="s">
        <v>422</v>
      </c>
      <c r="F342" s="122" t="b">
        <v>1</v>
      </c>
      <c r="G342" s="82"/>
      <c r="H342" s="91"/>
      <c r="I342" s="78"/>
      <c r="J342" s="79"/>
      <c r="K342" s="80" t="b">
        <v>1</v>
      </c>
      <c r="L342" s="80" t="s">
        <v>424</v>
      </c>
      <c r="M342" s="179">
        <v>42020</v>
      </c>
    </row>
    <row r="343" spans="1:13" hidden="1" outlineLevel="2" x14ac:dyDescent="0.25">
      <c r="A343" s="14">
        <v>23387</v>
      </c>
      <c r="B343" s="84" t="s">
        <v>295</v>
      </c>
      <c r="C343" s="91" t="s">
        <v>3</v>
      </c>
      <c r="D343" s="122">
        <v>1.1689814814814816E-3</v>
      </c>
      <c r="E343" s="122" t="s">
        <v>422</v>
      </c>
      <c r="F343" s="122" t="b">
        <v>1</v>
      </c>
      <c r="G343" s="82"/>
      <c r="H343" s="91"/>
      <c r="I343" s="78"/>
      <c r="J343" s="79"/>
      <c r="K343" s="80" t="b">
        <v>1</v>
      </c>
      <c r="L343" s="80" t="s">
        <v>424</v>
      </c>
      <c r="M343" s="179">
        <v>42020</v>
      </c>
    </row>
    <row r="344" spans="1:13" hidden="1" outlineLevel="2" x14ac:dyDescent="0.25">
      <c r="A344" s="14">
        <v>23388</v>
      </c>
      <c r="B344" s="84" t="s">
        <v>296</v>
      </c>
      <c r="C344" s="91" t="s">
        <v>3</v>
      </c>
      <c r="D344" s="122">
        <v>1.4050925925925927E-2</v>
      </c>
      <c r="E344" s="122" t="s">
        <v>422</v>
      </c>
      <c r="F344" s="122" t="b">
        <v>1</v>
      </c>
      <c r="G344" s="82"/>
      <c r="H344" s="91"/>
      <c r="I344" s="78"/>
      <c r="J344" s="79"/>
      <c r="K344" s="80" t="b">
        <v>1</v>
      </c>
      <c r="L344" s="80" t="s">
        <v>424</v>
      </c>
      <c r="M344" s="179">
        <v>42020</v>
      </c>
    </row>
    <row r="345" spans="1:13" hidden="1" outlineLevel="2" x14ac:dyDescent="0.25">
      <c r="A345" s="14">
        <v>23391</v>
      </c>
      <c r="B345" s="15" t="s">
        <v>297</v>
      </c>
      <c r="C345" s="91" t="s">
        <v>3</v>
      </c>
      <c r="D345" s="122">
        <v>1.8402777777777777E-3</v>
      </c>
      <c r="E345" s="122" t="s">
        <v>422</v>
      </c>
      <c r="F345" s="122" t="b">
        <v>1</v>
      </c>
      <c r="G345" s="82"/>
      <c r="H345" s="91"/>
      <c r="I345" s="78"/>
      <c r="J345" s="79"/>
      <c r="K345" s="80" t="b">
        <v>1</v>
      </c>
      <c r="L345" s="80" t="s">
        <v>424</v>
      </c>
      <c r="M345" s="179">
        <v>42020</v>
      </c>
    </row>
    <row r="346" spans="1:13" hidden="1" outlineLevel="2" x14ac:dyDescent="0.25">
      <c r="A346" s="14">
        <v>23426</v>
      </c>
      <c r="B346" s="84" t="s">
        <v>298</v>
      </c>
      <c r="C346" s="91" t="s">
        <v>3</v>
      </c>
      <c r="D346" s="122">
        <v>2.4537037037037036E-3</v>
      </c>
      <c r="E346" s="122" t="s">
        <v>422</v>
      </c>
      <c r="F346" s="122" t="b">
        <v>1</v>
      </c>
      <c r="G346" s="82"/>
      <c r="H346" s="91"/>
      <c r="I346" s="78"/>
      <c r="J346" s="79"/>
      <c r="K346" s="80" t="b">
        <v>1</v>
      </c>
      <c r="L346" s="80" t="s">
        <v>424</v>
      </c>
      <c r="M346" s="179">
        <v>42020</v>
      </c>
    </row>
    <row r="347" spans="1:13" hidden="1" outlineLevel="2" x14ac:dyDescent="0.2">
      <c r="A347" s="14">
        <v>23389</v>
      </c>
      <c r="B347" s="59" t="s">
        <v>299</v>
      </c>
      <c r="C347" s="91" t="s">
        <v>3</v>
      </c>
      <c r="D347" s="122">
        <v>3.1250000000000001E-4</v>
      </c>
      <c r="E347" s="122" t="s">
        <v>422</v>
      </c>
      <c r="F347" s="122" t="b">
        <v>1</v>
      </c>
      <c r="G347" s="82"/>
      <c r="H347" s="91"/>
      <c r="I347" s="78"/>
      <c r="J347" s="79"/>
      <c r="K347" s="80" t="b">
        <v>1</v>
      </c>
      <c r="L347" s="80" t="s">
        <v>424</v>
      </c>
      <c r="M347" s="179">
        <v>42020</v>
      </c>
    </row>
    <row r="348" spans="1:13" hidden="1" outlineLevel="2" x14ac:dyDescent="0.25">
      <c r="A348" s="14">
        <v>23385</v>
      </c>
      <c r="B348" s="38" t="s">
        <v>300</v>
      </c>
      <c r="C348" s="91" t="s">
        <v>3</v>
      </c>
      <c r="D348" s="122">
        <v>5.3240740740740744E-4</v>
      </c>
      <c r="E348" s="122" t="s">
        <v>422</v>
      </c>
      <c r="F348" s="122" t="b">
        <v>1</v>
      </c>
      <c r="G348" s="82"/>
      <c r="H348" s="91"/>
      <c r="I348" s="78"/>
      <c r="J348" s="79"/>
      <c r="K348" s="80" t="b">
        <v>1</v>
      </c>
      <c r="L348" s="80" t="s">
        <v>424</v>
      </c>
      <c r="M348" s="179">
        <v>42020</v>
      </c>
    </row>
    <row r="349" spans="1:13" hidden="1" outlineLevel="1" x14ac:dyDescent="0.25">
      <c r="A349" s="12"/>
      <c r="B349" s="12" t="s">
        <v>301</v>
      </c>
      <c r="C349" s="12"/>
      <c r="D349" s="121" t="e">
        <f>SumTestCase(Table_4[Run Time],Testcase_Color,Workflow_Color)</f>
        <v>#VALUE!</v>
      </c>
      <c r="E349" s="121"/>
      <c r="F349" s="121"/>
      <c r="G349" s="12"/>
      <c r="H349" s="12"/>
      <c r="I349" s="12"/>
      <c r="J349" s="12"/>
      <c r="K349" s="12"/>
      <c r="L349" s="12"/>
      <c r="M349" s="12"/>
    </row>
    <row r="350" spans="1:13" hidden="1" outlineLevel="2" x14ac:dyDescent="0.25">
      <c r="A350" s="96">
        <v>23293</v>
      </c>
      <c r="B350" s="59" t="s">
        <v>302</v>
      </c>
      <c r="C350" s="91" t="s">
        <v>3</v>
      </c>
      <c r="D350" s="122">
        <v>4.8032407407407407E-3</v>
      </c>
      <c r="E350" s="122" t="s">
        <v>422</v>
      </c>
      <c r="F350" s="122" t="b">
        <v>1</v>
      </c>
      <c r="G350" s="97"/>
      <c r="H350" s="91"/>
      <c r="I350" s="78"/>
      <c r="J350" s="79"/>
      <c r="K350" s="80" t="b">
        <v>1</v>
      </c>
      <c r="L350" s="80" t="s">
        <v>424</v>
      </c>
      <c r="M350" s="179">
        <v>42020</v>
      </c>
    </row>
    <row r="351" spans="1:13" hidden="1" outlineLevel="2" x14ac:dyDescent="0.2">
      <c r="A351" s="14">
        <v>23355</v>
      </c>
      <c r="B351" s="98" t="s">
        <v>303</v>
      </c>
      <c r="C351" s="91" t="s">
        <v>3</v>
      </c>
      <c r="D351" s="122">
        <v>7.6504629629629631E-3</v>
      </c>
      <c r="E351" s="122" t="s">
        <v>422</v>
      </c>
      <c r="F351" s="122" t="b">
        <v>1</v>
      </c>
      <c r="G351" s="91"/>
      <c r="H351" s="91"/>
      <c r="I351" s="78"/>
      <c r="J351" s="79"/>
      <c r="K351" s="80" t="b">
        <v>1</v>
      </c>
      <c r="L351" s="80" t="s">
        <v>424</v>
      </c>
      <c r="M351" s="179">
        <v>42020</v>
      </c>
    </row>
    <row r="352" spans="1:13" hidden="1" outlineLevel="2" x14ac:dyDescent="0.2">
      <c r="A352" s="14">
        <v>23356</v>
      </c>
      <c r="B352" s="70" t="s">
        <v>304</v>
      </c>
      <c r="C352" s="91" t="s">
        <v>3</v>
      </c>
      <c r="D352" s="122">
        <v>5.3240740740740748E-3</v>
      </c>
      <c r="E352" s="122" t="s">
        <v>422</v>
      </c>
      <c r="F352" s="122" t="b">
        <v>1</v>
      </c>
      <c r="G352" s="91"/>
      <c r="H352" s="91"/>
      <c r="I352" s="78"/>
      <c r="J352" s="79"/>
      <c r="K352" s="80" t="b">
        <v>1</v>
      </c>
      <c r="L352" s="80" t="s">
        <v>424</v>
      </c>
      <c r="M352" s="179">
        <v>42020</v>
      </c>
    </row>
    <row r="353" spans="1:13" hidden="1" outlineLevel="2" x14ac:dyDescent="0.25">
      <c r="A353" s="14">
        <v>23294</v>
      </c>
      <c r="B353" s="59" t="s">
        <v>305</v>
      </c>
      <c r="C353" s="91" t="s">
        <v>3</v>
      </c>
      <c r="D353" s="122">
        <v>1.5532407407407406E-2</v>
      </c>
      <c r="E353" s="122" t="s">
        <v>422</v>
      </c>
      <c r="F353" s="122" t="b">
        <v>1</v>
      </c>
      <c r="G353" s="97"/>
      <c r="H353" s="91"/>
      <c r="I353" s="78"/>
      <c r="J353" s="79"/>
      <c r="K353" s="80" t="b">
        <v>1</v>
      </c>
      <c r="L353" s="80" t="s">
        <v>424</v>
      </c>
      <c r="M353" s="179">
        <v>42020</v>
      </c>
    </row>
    <row r="354" spans="1:13" hidden="1" outlineLevel="1" x14ac:dyDescent="0.25">
      <c r="A354" s="12"/>
      <c r="B354" s="12" t="s">
        <v>421</v>
      </c>
      <c r="C354" s="12"/>
      <c r="D354" s="121" t="e">
        <f>SumTestCase(Table_4[Run Time],Testcase_Color,Workflow_Color)</f>
        <v>#VALUE!</v>
      </c>
      <c r="E354" s="121"/>
      <c r="F354" s="121"/>
      <c r="G354" s="12"/>
      <c r="H354" s="12"/>
      <c r="I354" s="12"/>
      <c r="J354" s="12"/>
      <c r="K354" s="12"/>
      <c r="L354" s="12"/>
      <c r="M354" s="12"/>
    </row>
    <row r="355" spans="1:13" hidden="1" outlineLevel="2" x14ac:dyDescent="0.25">
      <c r="A355" s="96">
        <v>36379</v>
      </c>
      <c r="B355" s="59" t="s">
        <v>306</v>
      </c>
      <c r="C355" s="91" t="s">
        <v>3</v>
      </c>
      <c r="D355" s="122">
        <v>1.7361111111111112E-2</v>
      </c>
      <c r="E355" s="122" t="s">
        <v>422</v>
      </c>
      <c r="F355" s="122" t="b">
        <v>1</v>
      </c>
      <c r="G355" s="84"/>
      <c r="H355" s="91"/>
      <c r="I355" s="78"/>
      <c r="J355" s="79"/>
      <c r="K355" s="80" t="b">
        <v>1</v>
      </c>
      <c r="L355" s="80" t="s">
        <v>424</v>
      </c>
      <c r="M355" s="179">
        <v>42020</v>
      </c>
    </row>
    <row r="356" spans="1:13" ht="59.25" hidden="1" customHeight="1" outlineLevel="2" x14ac:dyDescent="0.25">
      <c r="A356" s="96">
        <v>37377</v>
      </c>
      <c r="B356" s="84" t="s">
        <v>307</v>
      </c>
      <c r="C356" s="91" t="s">
        <v>3</v>
      </c>
      <c r="D356" s="122">
        <v>2.0833333333333332E-2</v>
      </c>
      <c r="E356" s="122" t="s">
        <v>422</v>
      </c>
      <c r="F356" s="122" t="b">
        <v>1</v>
      </c>
      <c r="G356" s="84"/>
      <c r="H356" s="81" t="s">
        <v>495</v>
      </c>
      <c r="I356" s="78"/>
      <c r="J356" s="79"/>
      <c r="K356" s="80" t="b">
        <v>1</v>
      </c>
      <c r="L356" s="80" t="s">
        <v>424</v>
      </c>
      <c r="M356" s="179">
        <v>42020</v>
      </c>
    </row>
    <row r="357" spans="1:13" hidden="1" outlineLevel="1" x14ac:dyDescent="0.25">
      <c r="A357" s="207"/>
      <c r="B357" s="12" t="s">
        <v>595</v>
      </c>
      <c r="C357" s="12"/>
      <c r="D357" s="121" t="e">
        <f>SumTestCase('Test Cases'!$D$357:$D$380,Testcase_Color,Workflow_Color)</f>
        <v>#VALUE!</v>
      </c>
      <c r="E357" s="121"/>
      <c r="F357" s="121"/>
      <c r="G357" s="12"/>
      <c r="H357" s="12"/>
      <c r="I357" s="12"/>
      <c r="J357" s="12"/>
      <c r="K357" s="12"/>
      <c r="L357" s="12"/>
      <c r="M357" s="185"/>
    </row>
    <row r="358" spans="1:13" hidden="1" outlineLevel="2" x14ac:dyDescent="0.2">
      <c r="A358" s="208">
        <v>23376</v>
      </c>
      <c r="B358" s="26" t="s">
        <v>280</v>
      </c>
      <c r="C358" s="175" t="s">
        <v>3</v>
      </c>
      <c r="D358" s="122">
        <v>5.4976851851851853E-3</v>
      </c>
      <c r="E358" s="122" t="s">
        <v>423</v>
      </c>
      <c r="F358" s="122" t="b">
        <v>1</v>
      </c>
      <c r="G358" s="175" t="s">
        <v>308</v>
      </c>
      <c r="H358" s="190"/>
      <c r="I358" s="209"/>
      <c r="J358" s="34"/>
      <c r="K358" s="35" t="b">
        <v>1</v>
      </c>
      <c r="L358" s="35" t="s">
        <v>424</v>
      </c>
      <c r="M358" s="210">
        <v>42020</v>
      </c>
    </row>
    <row r="359" spans="1:13" hidden="1" outlineLevel="2" x14ac:dyDescent="0.2">
      <c r="A359" s="208">
        <v>23375</v>
      </c>
      <c r="B359" s="26" t="s">
        <v>281</v>
      </c>
      <c r="C359" s="175" t="s">
        <v>3</v>
      </c>
      <c r="D359" s="122">
        <v>5.2083333333333333E-4</v>
      </c>
      <c r="E359" s="122" t="s">
        <v>423</v>
      </c>
      <c r="F359" s="122" t="b">
        <v>1</v>
      </c>
      <c r="G359" s="187"/>
      <c r="H359" s="175"/>
      <c r="I359" s="209"/>
      <c r="J359" s="34"/>
      <c r="K359" s="35" t="b">
        <v>1</v>
      </c>
      <c r="L359" s="35" t="s">
        <v>424</v>
      </c>
      <c r="M359" s="210">
        <v>42020</v>
      </c>
    </row>
    <row r="360" spans="1:13" hidden="1" outlineLevel="2" x14ac:dyDescent="0.2">
      <c r="A360" s="208">
        <v>23378</v>
      </c>
      <c r="B360" s="26" t="s">
        <v>282</v>
      </c>
      <c r="C360" s="175" t="s">
        <v>3</v>
      </c>
      <c r="D360" s="122">
        <v>8.449074074074075E-4</v>
      </c>
      <c r="E360" s="122" t="s">
        <v>423</v>
      </c>
      <c r="F360" s="122" t="b">
        <v>1</v>
      </c>
      <c r="G360" s="187"/>
      <c r="H360" s="175"/>
      <c r="I360" s="209"/>
      <c r="J360" s="34"/>
      <c r="K360" s="35" t="b">
        <v>1</v>
      </c>
      <c r="L360" s="35" t="s">
        <v>424</v>
      </c>
      <c r="M360" s="210">
        <v>42020</v>
      </c>
    </row>
    <row r="361" spans="1:13" hidden="1" outlineLevel="2" x14ac:dyDescent="0.2">
      <c r="A361" s="208">
        <v>23377</v>
      </c>
      <c r="B361" s="26" t="s">
        <v>283</v>
      </c>
      <c r="C361" s="175" t="s">
        <v>3</v>
      </c>
      <c r="D361" s="122">
        <v>4.2824074074074075E-4</v>
      </c>
      <c r="E361" s="122" t="s">
        <v>423</v>
      </c>
      <c r="F361" s="122" t="b">
        <v>1</v>
      </c>
      <c r="G361" s="187"/>
      <c r="H361" s="175"/>
      <c r="I361" s="209"/>
      <c r="J361" s="34"/>
      <c r="K361" s="35" t="b">
        <v>1</v>
      </c>
      <c r="L361" s="35" t="s">
        <v>424</v>
      </c>
      <c r="M361" s="210">
        <v>42020</v>
      </c>
    </row>
    <row r="362" spans="1:13" hidden="1" outlineLevel="2" x14ac:dyDescent="0.2">
      <c r="A362" s="208">
        <v>23379</v>
      </c>
      <c r="B362" s="26" t="s">
        <v>284</v>
      </c>
      <c r="C362" s="175" t="s">
        <v>3</v>
      </c>
      <c r="D362" s="122">
        <v>1.7361111111111112E-4</v>
      </c>
      <c r="E362" s="122" t="s">
        <v>423</v>
      </c>
      <c r="F362" s="122" t="b">
        <v>1</v>
      </c>
      <c r="G362" s="187"/>
      <c r="H362" s="175"/>
      <c r="I362" s="209"/>
      <c r="J362" s="34"/>
      <c r="K362" s="35" t="b">
        <v>1</v>
      </c>
      <c r="L362" s="35" t="s">
        <v>424</v>
      </c>
      <c r="M362" s="210">
        <v>42020</v>
      </c>
    </row>
    <row r="363" spans="1:13" ht="15" hidden="1" customHeight="1" outlineLevel="2" x14ac:dyDescent="0.2">
      <c r="A363" s="208">
        <v>23383</v>
      </c>
      <c r="B363" s="26" t="s">
        <v>285</v>
      </c>
      <c r="C363" s="175" t="s">
        <v>3</v>
      </c>
      <c r="D363" s="122">
        <v>3.0092592592592595E-4</v>
      </c>
      <c r="E363" s="122" t="s">
        <v>423</v>
      </c>
      <c r="F363" s="122" t="b">
        <v>1</v>
      </c>
      <c r="G363" s="187"/>
      <c r="H363" s="175"/>
      <c r="I363" s="209"/>
      <c r="J363" s="34"/>
      <c r="K363" s="35" t="b">
        <v>1</v>
      </c>
      <c r="L363" s="35" t="s">
        <v>424</v>
      </c>
      <c r="M363" s="210">
        <v>42020</v>
      </c>
    </row>
    <row r="364" spans="1:13" ht="15" hidden="1" customHeight="1" outlineLevel="2" x14ac:dyDescent="0.2">
      <c r="A364" s="208">
        <v>23380</v>
      </c>
      <c r="B364" s="26" t="s">
        <v>286</v>
      </c>
      <c r="C364" s="175" t="s">
        <v>3</v>
      </c>
      <c r="D364" s="122">
        <v>3.2407407407407406E-4</v>
      </c>
      <c r="E364" s="122" t="s">
        <v>423</v>
      </c>
      <c r="F364" s="122" t="b">
        <v>1</v>
      </c>
      <c r="G364" s="187"/>
      <c r="H364" s="175"/>
      <c r="I364" s="209"/>
      <c r="J364" s="34"/>
      <c r="K364" s="35" t="b">
        <v>1</v>
      </c>
      <c r="L364" s="35" t="s">
        <v>424</v>
      </c>
      <c r="M364" s="210">
        <v>42020</v>
      </c>
    </row>
    <row r="365" spans="1:13" hidden="1" outlineLevel="2" x14ac:dyDescent="0.2">
      <c r="A365" s="208">
        <v>23381</v>
      </c>
      <c r="B365" s="26" t="s">
        <v>287</v>
      </c>
      <c r="C365" s="175" t="s">
        <v>3</v>
      </c>
      <c r="D365" s="122">
        <v>5.5555555555555556E-4</v>
      </c>
      <c r="E365" s="122" t="s">
        <v>423</v>
      </c>
      <c r="F365" s="122" t="b">
        <v>1</v>
      </c>
      <c r="G365" s="187"/>
      <c r="H365" s="175"/>
      <c r="I365" s="209"/>
      <c r="J365" s="34"/>
      <c r="K365" s="35" t="b">
        <v>1</v>
      </c>
      <c r="L365" s="35" t="s">
        <v>424</v>
      </c>
      <c r="M365" s="210">
        <v>42020</v>
      </c>
    </row>
    <row r="366" spans="1:13" hidden="1" outlineLevel="1" x14ac:dyDescent="0.25">
      <c r="A366" s="207"/>
      <c r="B366" s="12" t="s">
        <v>596</v>
      </c>
      <c r="C366" s="12"/>
      <c r="D366" s="121" t="e">
        <f>SumTestCase('Test Cases'!$D$357:$D$380,Testcase_Color,Workflow_Color)</f>
        <v>#VALUE!</v>
      </c>
      <c r="E366" s="121"/>
      <c r="F366" s="121"/>
      <c r="G366" s="12"/>
      <c r="H366" s="12"/>
      <c r="I366" s="12"/>
      <c r="J366" s="12"/>
      <c r="K366" s="12"/>
      <c r="L366" s="12"/>
      <c r="M366" s="185"/>
    </row>
    <row r="367" spans="1:13" hidden="1" outlineLevel="2" x14ac:dyDescent="0.2">
      <c r="A367" s="208">
        <v>23372</v>
      </c>
      <c r="B367" s="26" t="s">
        <v>291</v>
      </c>
      <c r="C367" s="175" t="s">
        <v>3</v>
      </c>
      <c r="D367" s="122">
        <v>9.0046296296296298E-3</v>
      </c>
      <c r="E367" s="122" t="s">
        <v>423</v>
      </c>
      <c r="F367" s="122" t="b">
        <v>1</v>
      </c>
      <c r="G367" s="187"/>
      <c r="H367" s="175"/>
      <c r="I367" s="209"/>
      <c r="J367" s="34"/>
      <c r="K367" s="35" t="b">
        <v>1</v>
      </c>
      <c r="L367" s="35" t="s">
        <v>424</v>
      </c>
      <c r="M367" s="210">
        <v>42020</v>
      </c>
    </row>
    <row r="368" spans="1:13" hidden="1" outlineLevel="2" x14ac:dyDescent="0.2">
      <c r="A368" s="208">
        <v>23386</v>
      </c>
      <c r="B368" s="26" t="s">
        <v>292</v>
      </c>
      <c r="C368" s="175" t="s">
        <v>3</v>
      </c>
      <c r="D368" s="122">
        <v>1.8055555555555557E-3</v>
      </c>
      <c r="E368" s="122" t="s">
        <v>423</v>
      </c>
      <c r="F368" s="122" t="b">
        <v>1</v>
      </c>
      <c r="G368" s="187"/>
      <c r="H368" s="175"/>
      <c r="I368" s="209"/>
      <c r="J368" s="34"/>
      <c r="K368" s="35" t="b">
        <v>1</v>
      </c>
      <c r="L368" s="35" t="s">
        <v>424</v>
      </c>
      <c r="M368" s="210">
        <v>42020</v>
      </c>
    </row>
    <row r="369" spans="1:14" hidden="1" outlineLevel="2" x14ac:dyDescent="0.25">
      <c r="A369" s="208">
        <v>23382</v>
      </c>
      <c r="B369" s="211" t="s">
        <v>293</v>
      </c>
      <c r="C369" s="175" t="s">
        <v>3</v>
      </c>
      <c r="D369" s="122">
        <v>2.0601851851851853E-3</v>
      </c>
      <c r="E369" s="122" t="s">
        <v>423</v>
      </c>
      <c r="F369" s="122" t="b">
        <v>1</v>
      </c>
      <c r="G369" s="187"/>
      <c r="H369" s="175"/>
      <c r="I369" s="209"/>
      <c r="J369" s="34"/>
      <c r="K369" s="35" t="b">
        <v>1</v>
      </c>
      <c r="L369" s="35" t="s">
        <v>424</v>
      </c>
      <c r="M369" s="210">
        <v>42020</v>
      </c>
    </row>
    <row r="370" spans="1:14" hidden="1" outlineLevel="2" x14ac:dyDescent="0.25">
      <c r="A370" s="208">
        <v>23384</v>
      </c>
      <c r="B370" s="211" t="s">
        <v>294</v>
      </c>
      <c r="C370" s="175" t="s">
        <v>3</v>
      </c>
      <c r="D370" s="122">
        <v>8.7962962962962962E-4</v>
      </c>
      <c r="E370" s="122" t="s">
        <v>423</v>
      </c>
      <c r="F370" s="122" t="b">
        <v>1</v>
      </c>
      <c r="G370" s="187"/>
      <c r="H370" s="175"/>
      <c r="I370" s="209"/>
      <c r="J370" s="34"/>
      <c r="K370" s="35" t="b">
        <v>1</v>
      </c>
      <c r="L370" s="35" t="s">
        <v>424</v>
      </c>
      <c r="M370" s="210">
        <v>42020</v>
      </c>
    </row>
    <row r="371" spans="1:14" hidden="1" outlineLevel="2" x14ac:dyDescent="0.2">
      <c r="A371" s="208">
        <v>23387</v>
      </c>
      <c r="B371" s="59" t="s">
        <v>295</v>
      </c>
      <c r="C371" s="175" t="s">
        <v>3</v>
      </c>
      <c r="D371" s="122">
        <v>1.7245370370370372E-3</v>
      </c>
      <c r="E371" s="122" t="s">
        <v>423</v>
      </c>
      <c r="F371" s="122" t="b">
        <v>1</v>
      </c>
      <c r="G371" s="187"/>
      <c r="H371" s="175"/>
      <c r="I371" s="209"/>
      <c r="J371" s="34"/>
      <c r="K371" s="35" t="b">
        <v>1</v>
      </c>
      <c r="L371" s="35" t="s">
        <v>424</v>
      </c>
      <c r="M371" s="210">
        <v>42020</v>
      </c>
    </row>
    <row r="372" spans="1:14" hidden="1" outlineLevel="2" x14ac:dyDescent="0.2">
      <c r="A372" s="208">
        <v>23388</v>
      </c>
      <c r="B372" s="59" t="s">
        <v>296</v>
      </c>
      <c r="C372" s="175" t="s">
        <v>3</v>
      </c>
      <c r="D372" s="122">
        <v>1.2337962962962962E-2</v>
      </c>
      <c r="E372" s="122" t="s">
        <v>423</v>
      </c>
      <c r="F372" s="122" t="b">
        <v>1</v>
      </c>
      <c r="G372" s="187"/>
      <c r="H372" s="175"/>
      <c r="I372" s="209"/>
      <c r="J372" s="34"/>
      <c r="K372" s="35" t="b">
        <v>1</v>
      </c>
      <c r="L372" s="35" t="s">
        <v>424</v>
      </c>
      <c r="M372" s="210">
        <v>42020</v>
      </c>
    </row>
    <row r="373" spans="1:14" hidden="1" outlineLevel="2" x14ac:dyDescent="0.2">
      <c r="A373" s="208">
        <v>23391</v>
      </c>
      <c r="B373" s="26" t="s">
        <v>297</v>
      </c>
      <c r="C373" s="175" t="s">
        <v>3</v>
      </c>
      <c r="D373" s="122">
        <v>2.3495370370370371E-3</v>
      </c>
      <c r="E373" s="122" t="s">
        <v>423</v>
      </c>
      <c r="F373" s="122" t="b">
        <v>1</v>
      </c>
      <c r="G373" s="187"/>
      <c r="H373" s="175"/>
      <c r="I373" s="209"/>
      <c r="J373" s="34"/>
      <c r="K373" s="35" t="b">
        <v>1</v>
      </c>
      <c r="L373" s="35" t="s">
        <v>424</v>
      </c>
      <c r="M373" s="210">
        <v>42020</v>
      </c>
    </row>
    <row r="374" spans="1:14" hidden="1" outlineLevel="2" x14ac:dyDescent="0.2">
      <c r="A374" s="208">
        <v>23389</v>
      </c>
      <c r="B374" s="59" t="s">
        <v>299</v>
      </c>
      <c r="C374" s="175" t="s">
        <v>3</v>
      </c>
      <c r="D374" s="122">
        <v>3.5069444444444445E-3</v>
      </c>
      <c r="E374" s="122" t="s">
        <v>423</v>
      </c>
      <c r="F374" s="122" t="b">
        <v>1</v>
      </c>
      <c r="G374" s="187"/>
      <c r="H374" s="175"/>
      <c r="I374" s="209"/>
      <c r="J374" s="34"/>
      <c r="K374" s="35" t="b">
        <v>1</v>
      </c>
      <c r="L374" s="35" t="s">
        <v>424</v>
      </c>
      <c r="M374" s="210">
        <v>42020</v>
      </c>
    </row>
    <row r="375" spans="1:14" hidden="1" outlineLevel="2" x14ac:dyDescent="0.2">
      <c r="A375" s="208">
        <v>23385</v>
      </c>
      <c r="B375" s="26" t="s">
        <v>300</v>
      </c>
      <c r="C375" s="175" t="s">
        <v>3</v>
      </c>
      <c r="D375" s="122">
        <v>1.1574074074074073E-4</v>
      </c>
      <c r="E375" s="122" t="s">
        <v>423</v>
      </c>
      <c r="F375" s="122" t="b">
        <v>1</v>
      </c>
      <c r="G375" s="187"/>
      <c r="H375" s="175"/>
      <c r="I375" s="209"/>
      <c r="J375" s="34"/>
      <c r="K375" s="35" t="b">
        <v>1</v>
      </c>
      <c r="L375" s="35" t="s">
        <v>424</v>
      </c>
      <c r="M375" s="210">
        <v>42020</v>
      </c>
    </row>
    <row r="376" spans="1:14" hidden="1" outlineLevel="1" x14ac:dyDescent="0.25">
      <c r="A376" s="207"/>
      <c r="B376" s="12" t="s">
        <v>597</v>
      </c>
      <c r="C376" s="12"/>
      <c r="D376" s="121" t="e">
        <f>SumTestCase('Test Cases'!$D$357:$D$380,Testcase_Color,Workflow_Color)</f>
        <v>#VALUE!</v>
      </c>
      <c r="E376" s="121"/>
      <c r="F376" s="121"/>
      <c r="G376" s="12"/>
      <c r="H376" s="12"/>
      <c r="I376" s="12"/>
      <c r="J376" s="12"/>
      <c r="K376" s="12"/>
      <c r="L376" s="12"/>
      <c r="M376" s="185"/>
    </row>
    <row r="377" spans="1:14" hidden="1" outlineLevel="2" x14ac:dyDescent="0.25">
      <c r="A377" s="212">
        <v>23293</v>
      </c>
      <c r="B377" s="59" t="s">
        <v>302</v>
      </c>
      <c r="C377" s="175" t="s">
        <v>3</v>
      </c>
      <c r="D377" s="122">
        <v>6.5277777777777782E-3</v>
      </c>
      <c r="E377" s="122" t="s">
        <v>423</v>
      </c>
      <c r="F377" s="122" t="b">
        <v>1</v>
      </c>
      <c r="G377" s="211"/>
      <c r="H377" s="175"/>
      <c r="I377" s="175"/>
      <c r="J377" s="34"/>
      <c r="K377" s="35" t="b">
        <v>1</v>
      </c>
      <c r="L377" s="35" t="s">
        <v>424</v>
      </c>
      <c r="M377" s="213">
        <v>42020</v>
      </c>
    </row>
    <row r="378" spans="1:14" ht="30" hidden="1" outlineLevel="2" x14ac:dyDescent="0.25">
      <c r="A378" s="208">
        <v>23294</v>
      </c>
      <c r="B378" s="59" t="s">
        <v>305</v>
      </c>
      <c r="C378" s="175" t="s">
        <v>3</v>
      </c>
      <c r="D378" s="122">
        <v>1.7337962962962961E-2</v>
      </c>
      <c r="E378" s="122" t="s">
        <v>423</v>
      </c>
      <c r="F378" s="122" t="b">
        <v>1</v>
      </c>
      <c r="G378" s="211"/>
      <c r="H378" s="143" t="s">
        <v>492</v>
      </c>
      <c r="I378" s="42"/>
      <c r="J378" s="34"/>
      <c r="K378" s="35" t="b">
        <v>1</v>
      </c>
      <c r="L378" s="35" t="s">
        <v>424</v>
      </c>
      <c r="M378" s="192">
        <v>42020</v>
      </c>
    </row>
    <row r="379" spans="1:14" hidden="1" outlineLevel="2" x14ac:dyDescent="0.25">
      <c r="A379" s="208">
        <v>23355</v>
      </c>
      <c r="B379" s="211" t="s">
        <v>309</v>
      </c>
      <c r="C379" s="175" t="s">
        <v>3</v>
      </c>
      <c r="D379" s="122">
        <v>1.638888888888889E-2</v>
      </c>
      <c r="E379" s="122" t="s">
        <v>423</v>
      </c>
      <c r="F379" s="122" t="b">
        <v>1</v>
      </c>
      <c r="G379" s="214"/>
      <c r="H379" s="175"/>
      <c r="I379" s="175"/>
      <c r="J379" s="34"/>
      <c r="K379" s="35" t="b">
        <v>0</v>
      </c>
      <c r="L379" s="35" t="s">
        <v>424</v>
      </c>
      <c r="M379" s="213">
        <v>42020</v>
      </c>
    </row>
    <row r="380" spans="1:14" hidden="1" outlineLevel="2" x14ac:dyDescent="0.25">
      <c r="A380" s="215">
        <v>23356</v>
      </c>
      <c r="B380" s="216" t="s">
        <v>304</v>
      </c>
      <c r="C380" s="217" t="s">
        <v>3</v>
      </c>
      <c r="D380" s="201">
        <v>6.9444444444444441E-3</v>
      </c>
      <c r="E380" s="201" t="s">
        <v>423</v>
      </c>
      <c r="F380" s="201" t="b">
        <v>1</v>
      </c>
      <c r="G380" s="218"/>
      <c r="H380" s="217"/>
      <c r="I380" s="217"/>
      <c r="J380" s="219"/>
      <c r="K380" s="205" t="b">
        <v>1</v>
      </c>
      <c r="L380" s="205" t="s">
        <v>424</v>
      </c>
      <c r="M380" s="220">
        <v>42020</v>
      </c>
    </row>
    <row r="382" spans="1:14" ht="35.25" customHeight="1" x14ac:dyDescent="0.25">
      <c r="B382" s="77" t="s">
        <v>612</v>
      </c>
      <c r="C382" s="271"/>
      <c r="D382" s="271"/>
      <c r="E382" s="271"/>
      <c r="F382" s="272"/>
      <c r="G382" s="272"/>
      <c r="H382" s="272"/>
      <c r="I382" s="272"/>
      <c r="J382" s="272"/>
      <c r="K382" s="272"/>
      <c r="L382" s="272"/>
      <c r="M382" s="272"/>
    </row>
    <row r="383" spans="1:14" s="25" customFormat="1" ht="30" collapsed="1" x14ac:dyDescent="0.25">
      <c r="A383" s="21" t="s">
        <v>0</v>
      </c>
      <c r="B383" s="21" t="s">
        <v>1</v>
      </c>
      <c r="C383" s="21" t="s">
        <v>2</v>
      </c>
      <c r="D383" s="21" t="s">
        <v>420</v>
      </c>
      <c r="E383" s="21" t="s">
        <v>556</v>
      </c>
      <c r="F383" s="21" t="s">
        <v>507</v>
      </c>
      <c r="G383" s="21" t="s">
        <v>4</v>
      </c>
      <c r="H383" s="21" t="s">
        <v>31</v>
      </c>
      <c r="I383" s="22" t="s">
        <v>511</v>
      </c>
      <c r="J383" s="23" t="s">
        <v>510</v>
      </c>
      <c r="K383" s="24" t="s">
        <v>508</v>
      </c>
      <c r="L383" s="22" t="s">
        <v>509</v>
      </c>
      <c r="M383" s="22" t="s">
        <v>554</v>
      </c>
      <c r="N383" s="54"/>
    </row>
    <row r="384" spans="1:14" hidden="1" outlineLevel="1" x14ac:dyDescent="0.25">
      <c r="A384" s="12"/>
      <c r="B384" s="12" t="s">
        <v>310</v>
      </c>
      <c r="C384" s="12"/>
      <c r="D384" s="121"/>
      <c r="E384" s="121"/>
      <c r="F384" s="121"/>
      <c r="G384" s="12"/>
      <c r="H384" s="12"/>
      <c r="I384" s="12"/>
      <c r="J384" s="12"/>
      <c r="K384" s="12"/>
      <c r="L384" s="12"/>
      <c r="M384" s="12"/>
    </row>
    <row r="385" spans="1:13" ht="25.5" hidden="1" customHeight="1" outlineLevel="2" x14ac:dyDescent="0.2">
      <c r="A385" s="14">
        <v>24909</v>
      </c>
      <c r="B385" s="102" t="s">
        <v>311</v>
      </c>
      <c r="C385" s="30" t="s">
        <v>3</v>
      </c>
      <c r="D385" s="122">
        <v>1.4444444444444446E-2</v>
      </c>
      <c r="E385" s="122" t="s">
        <v>422</v>
      </c>
      <c r="F385" s="122" t="b">
        <v>1</v>
      </c>
      <c r="G385" s="19"/>
      <c r="H385" s="30"/>
      <c r="I385" s="78"/>
      <c r="J385" s="79"/>
      <c r="K385" s="80" t="b">
        <v>0</v>
      </c>
      <c r="L385" s="80" t="s">
        <v>231</v>
      </c>
      <c r="M385" s="179">
        <v>42020</v>
      </c>
    </row>
    <row r="386" spans="1:13" ht="36.75" hidden="1" customHeight="1" outlineLevel="2" x14ac:dyDescent="0.2">
      <c r="A386" s="14">
        <v>25085</v>
      </c>
      <c r="B386" s="102" t="s">
        <v>312</v>
      </c>
      <c r="C386" s="30" t="s">
        <v>3</v>
      </c>
      <c r="D386" s="122">
        <v>3.0636574074074076E-2</v>
      </c>
      <c r="E386" s="122" t="s">
        <v>422</v>
      </c>
      <c r="F386" s="122" t="b">
        <v>1</v>
      </c>
      <c r="G386" s="19"/>
      <c r="H386" s="134" t="s">
        <v>560</v>
      </c>
      <c r="I386" s="78"/>
      <c r="J386" s="79"/>
      <c r="K386" s="80" t="b">
        <v>0</v>
      </c>
      <c r="L386" s="80" t="s">
        <v>231</v>
      </c>
      <c r="M386" s="179">
        <v>42020</v>
      </c>
    </row>
    <row r="387" spans="1:13" hidden="1" outlineLevel="1" x14ac:dyDescent="0.25">
      <c r="A387" s="12"/>
      <c r="B387" s="12" t="s">
        <v>313</v>
      </c>
      <c r="C387" s="12"/>
      <c r="D387" s="121"/>
      <c r="E387" s="121"/>
      <c r="F387" s="121"/>
      <c r="G387" s="12"/>
      <c r="H387" s="12"/>
      <c r="I387" s="12"/>
      <c r="J387" s="12"/>
      <c r="K387" s="12"/>
      <c r="L387" s="12"/>
      <c r="M387" s="12"/>
    </row>
    <row r="388" spans="1:13" hidden="1" outlineLevel="2" x14ac:dyDescent="0.2">
      <c r="A388" s="14">
        <v>24840</v>
      </c>
      <c r="B388" s="102" t="s">
        <v>314</v>
      </c>
      <c r="C388" s="30" t="s">
        <v>3</v>
      </c>
      <c r="D388" s="122">
        <v>6.8981481481481489E-3</v>
      </c>
      <c r="E388" s="122" t="s">
        <v>422</v>
      </c>
      <c r="F388" s="122" t="b">
        <v>1</v>
      </c>
      <c r="G388" s="19"/>
      <c r="H388" s="30"/>
      <c r="I388" s="78"/>
      <c r="J388" s="79"/>
      <c r="K388" s="80" t="b">
        <v>1</v>
      </c>
      <c r="L388" s="80" t="s">
        <v>231</v>
      </c>
      <c r="M388" s="179">
        <v>42065.397546296299</v>
      </c>
    </row>
    <row r="389" spans="1:13" ht="15" hidden="1" customHeight="1" outlineLevel="2" x14ac:dyDescent="0.2">
      <c r="A389" s="14">
        <v>24839</v>
      </c>
      <c r="B389" s="102" t="s">
        <v>315</v>
      </c>
      <c r="C389" s="30" t="s">
        <v>3</v>
      </c>
      <c r="D389" s="122">
        <v>4.5254629629629629E-3</v>
      </c>
      <c r="E389" s="122" t="s">
        <v>422</v>
      </c>
      <c r="F389" s="122" t="b">
        <v>1</v>
      </c>
      <c r="G389" s="19"/>
      <c r="H389" s="30"/>
      <c r="I389" s="78"/>
      <c r="J389" s="79"/>
      <c r="K389" s="80" t="b">
        <v>1</v>
      </c>
      <c r="L389" s="80" t="s">
        <v>231</v>
      </c>
      <c r="M389" s="179">
        <v>42020</v>
      </c>
    </row>
    <row r="390" spans="1:13" ht="15" hidden="1" customHeight="1" outlineLevel="2" x14ac:dyDescent="0.2">
      <c r="A390" s="14">
        <v>24932</v>
      </c>
      <c r="B390" s="59" t="s">
        <v>316</v>
      </c>
      <c r="C390" s="30" t="s">
        <v>3</v>
      </c>
      <c r="D390" s="122">
        <v>4.6296296296296302E-3</v>
      </c>
      <c r="E390" s="122" t="s">
        <v>422</v>
      </c>
      <c r="F390" s="122" t="b">
        <v>1</v>
      </c>
      <c r="G390" s="19"/>
      <c r="H390" s="30"/>
      <c r="I390" s="78"/>
      <c r="J390" s="79"/>
      <c r="K390" s="80" t="b">
        <v>1</v>
      </c>
      <c r="L390" s="80" t="s">
        <v>231</v>
      </c>
      <c r="M390" s="179">
        <v>42020</v>
      </c>
    </row>
    <row r="391" spans="1:13" ht="15" hidden="1" customHeight="1" outlineLevel="2" x14ac:dyDescent="0.25">
      <c r="A391" s="14">
        <v>24836</v>
      </c>
      <c r="B391" s="103" t="s">
        <v>320</v>
      </c>
      <c r="C391" s="30" t="s">
        <v>3</v>
      </c>
      <c r="D391" s="122">
        <v>8.4375000000000006E-3</v>
      </c>
      <c r="E391" s="122" t="s">
        <v>422</v>
      </c>
      <c r="F391" s="122" t="b">
        <v>1</v>
      </c>
      <c r="G391" s="19"/>
      <c r="H391" s="30"/>
      <c r="I391" s="78"/>
      <c r="J391" s="79"/>
      <c r="K391" s="80" t="b">
        <v>0</v>
      </c>
      <c r="L391" s="80" t="s">
        <v>231</v>
      </c>
      <c r="M391" s="179">
        <v>42020</v>
      </c>
    </row>
    <row r="392" spans="1:13" hidden="1" outlineLevel="1" x14ac:dyDescent="0.25">
      <c r="A392" s="12"/>
      <c r="B392" s="12" t="s">
        <v>318</v>
      </c>
      <c r="C392" s="12"/>
      <c r="D392" s="121"/>
      <c r="E392" s="121"/>
      <c r="F392" s="121"/>
      <c r="G392" s="12"/>
      <c r="H392" s="12"/>
      <c r="I392" s="12"/>
      <c r="J392" s="12"/>
      <c r="K392" s="12"/>
      <c r="L392" s="12"/>
      <c r="M392" s="12"/>
    </row>
    <row r="393" spans="1:13" ht="15" hidden="1" customHeight="1" outlineLevel="2" x14ac:dyDescent="0.2">
      <c r="A393" s="14">
        <v>25084</v>
      </c>
      <c r="B393" s="102" t="s">
        <v>319</v>
      </c>
      <c r="C393" s="30" t="s">
        <v>3</v>
      </c>
      <c r="D393" s="122">
        <v>9.1435185185185178E-3</v>
      </c>
      <c r="E393" s="122" t="s">
        <v>422</v>
      </c>
      <c r="F393" s="122" t="b">
        <v>1</v>
      </c>
      <c r="G393" s="19"/>
      <c r="H393" s="30"/>
      <c r="I393" s="78"/>
      <c r="J393" s="79"/>
      <c r="K393" s="80" t="b">
        <v>1</v>
      </c>
      <c r="L393" s="80" t="s">
        <v>231</v>
      </c>
      <c r="M393" s="179">
        <v>42020</v>
      </c>
    </row>
    <row r="394" spans="1:13" ht="38.25" hidden="1" customHeight="1" outlineLevel="2" x14ac:dyDescent="0.25">
      <c r="A394" s="14">
        <v>24836</v>
      </c>
      <c r="B394" s="103" t="s">
        <v>320</v>
      </c>
      <c r="C394" s="30" t="s">
        <v>11</v>
      </c>
      <c r="D394" s="122">
        <v>1.0763888888888891E-2</v>
      </c>
      <c r="E394" s="122" t="s">
        <v>422</v>
      </c>
      <c r="F394" s="122" t="b">
        <v>0</v>
      </c>
      <c r="G394" s="19"/>
      <c r="H394" s="30"/>
      <c r="I394" s="78"/>
      <c r="J394" s="79"/>
      <c r="K394" s="80" t="b">
        <v>0</v>
      </c>
      <c r="L394" s="80" t="s">
        <v>231</v>
      </c>
      <c r="M394" s="78"/>
    </row>
    <row r="395" spans="1:13" hidden="1" outlineLevel="1" x14ac:dyDescent="0.25">
      <c r="A395" s="12"/>
      <c r="B395" s="12" t="s">
        <v>321</v>
      </c>
      <c r="C395" s="12"/>
      <c r="D395" s="121"/>
      <c r="E395" s="121"/>
      <c r="F395" s="121"/>
      <c r="G395" s="12"/>
      <c r="H395" s="12"/>
      <c r="I395" s="12"/>
      <c r="J395" s="12"/>
      <c r="K395" s="12"/>
      <c r="L395" s="12"/>
      <c r="M395" s="12"/>
    </row>
    <row r="396" spans="1:13" ht="25.5" hidden="1" customHeight="1" outlineLevel="2" x14ac:dyDescent="0.25">
      <c r="A396" s="14">
        <v>24841</v>
      </c>
      <c r="B396" s="104" t="s">
        <v>322</v>
      </c>
      <c r="C396" s="30" t="s">
        <v>3</v>
      </c>
      <c r="D396" s="122">
        <v>7.1296296296296307E-3</v>
      </c>
      <c r="E396" s="122" t="s">
        <v>422</v>
      </c>
      <c r="F396" s="122" t="b">
        <v>1</v>
      </c>
      <c r="G396" s="19"/>
      <c r="H396" s="30"/>
      <c r="I396" s="78"/>
      <c r="J396" s="79"/>
      <c r="K396" s="80" t="b">
        <v>1</v>
      </c>
      <c r="L396" s="80" t="s">
        <v>231</v>
      </c>
      <c r="M396" s="179">
        <v>42020</v>
      </c>
    </row>
    <row r="397" spans="1:13" hidden="1" outlineLevel="2" x14ac:dyDescent="0.2">
      <c r="A397" s="14">
        <v>24863</v>
      </c>
      <c r="B397" s="105" t="s">
        <v>323</v>
      </c>
      <c r="C397" s="30" t="s">
        <v>3</v>
      </c>
      <c r="D397" s="122">
        <v>3.8194444444444443E-3</v>
      </c>
      <c r="E397" s="122" t="s">
        <v>422</v>
      </c>
      <c r="F397" s="122" t="b">
        <v>1</v>
      </c>
      <c r="G397" s="19"/>
      <c r="H397" s="30"/>
      <c r="I397" s="78"/>
      <c r="J397" s="79"/>
      <c r="K397" s="80" t="b">
        <v>1</v>
      </c>
      <c r="L397" s="80" t="s">
        <v>231</v>
      </c>
      <c r="M397" s="179">
        <v>42048.642106481479</v>
      </c>
    </row>
    <row r="398" spans="1:13" ht="15" hidden="1" customHeight="1" outlineLevel="2" x14ac:dyDescent="0.2">
      <c r="A398" s="14">
        <v>24878</v>
      </c>
      <c r="B398" s="102" t="s">
        <v>324</v>
      </c>
      <c r="C398" s="30" t="s">
        <v>3</v>
      </c>
      <c r="D398" s="122">
        <v>5.3935185185185188E-3</v>
      </c>
      <c r="E398" s="122" t="s">
        <v>422</v>
      </c>
      <c r="F398" s="122" t="b">
        <v>1</v>
      </c>
      <c r="G398" s="19"/>
      <c r="H398" s="30"/>
      <c r="I398" s="78"/>
      <c r="J398" s="79"/>
      <c r="K398" s="80" t="b">
        <v>1</v>
      </c>
      <c r="L398" s="80" t="s">
        <v>231</v>
      </c>
      <c r="M398" s="179">
        <v>42020</v>
      </c>
    </row>
    <row r="399" spans="1:13" ht="25.5" hidden="1" customHeight="1" outlineLevel="2" x14ac:dyDescent="0.2">
      <c r="A399" s="14">
        <v>24837</v>
      </c>
      <c r="B399" s="105" t="s">
        <v>325</v>
      </c>
      <c r="C399" s="30" t="s">
        <v>3</v>
      </c>
      <c r="D399" s="122">
        <v>7.8935185185185185E-3</v>
      </c>
      <c r="E399" s="122" t="s">
        <v>422</v>
      </c>
      <c r="F399" s="122" t="b">
        <v>1</v>
      </c>
      <c r="G399" s="19"/>
      <c r="H399" s="30"/>
      <c r="I399" s="78"/>
      <c r="J399" s="79"/>
      <c r="K399" s="80" t="b">
        <v>0</v>
      </c>
      <c r="L399" s="80" t="s">
        <v>231</v>
      </c>
      <c r="M399" s="179">
        <v>42020</v>
      </c>
    </row>
    <row r="400" spans="1:13" ht="25.5" hidden="1" customHeight="1" outlineLevel="2" x14ac:dyDescent="0.2">
      <c r="A400" s="14">
        <v>24842</v>
      </c>
      <c r="B400" s="105" t="s">
        <v>326</v>
      </c>
      <c r="C400" s="30" t="s">
        <v>3</v>
      </c>
      <c r="D400" s="122">
        <v>9.2013888888888892E-3</v>
      </c>
      <c r="E400" s="122" t="s">
        <v>422</v>
      </c>
      <c r="F400" s="122" t="b">
        <v>1</v>
      </c>
      <c r="G400" s="19"/>
      <c r="H400" s="30"/>
      <c r="I400" s="78"/>
      <c r="J400" s="79"/>
      <c r="K400" s="80" t="b">
        <v>1</v>
      </c>
      <c r="L400" s="80" t="s">
        <v>231</v>
      </c>
      <c r="M400" s="179">
        <v>42020</v>
      </c>
    </row>
    <row r="401" spans="1:13" ht="15" hidden="1" customHeight="1" outlineLevel="2" x14ac:dyDescent="0.2">
      <c r="A401" s="14">
        <v>24838</v>
      </c>
      <c r="B401" s="105" t="s">
        <v>327</v>
      </c>
      <c r="C401" s="30" t="s">
        <v>3</v>
      </c>
      <c r="D401" s="122">
        <v>8.7847222222222233E-3</v>
      </c>
      <c r="E401" s="122" t="s">
        <v>422</v>
      </c>
      <c r="F401" s="122" t="b">
        <v>1</v>
      </c>
      <c r="G401" s="19"/>
      <c r="H401" s="30"/>
      <c r="I401" s="78"/>
      <c r="J401" s="79"/>
      <c r="K401" s="80" t="b">
        <v>0</v>
      </c>
      <c r="L401" s="80" t="s">
        <v>231</v>
      </c>
      <c r="M401" s="179">
        <v>42020</v>
      </c>
    </row>
    <row r="402" spans="1:13" hidden="1" outlineLevel="1" x14ac:dyDescent="0.25">
      <c r="A402" s="12"/>
      <c r="B402" s="12" t="s">
        <v>328</v>
      </c>
      <c r="C402" s="12"/>
      <c r="D402" s="121"/>
      <c r="E402" s="121"/>
      <c r="F402" s="121"/>
      <c r="G402" s="12"/>
      <c r="H402" s="12"/>
      <c r="I402" s="12"/>
      <c r="J402" s="12"/>
      <c r="K402" s="12"/>
      <c r="L402" s="12"/>
      <c r="M402" s="12"/>
    </row>
    <row r="403" spans="1:13" ht="25.5" hidden="1" customHeight="1" outlineLevel="2" x14ac:dyDescent="0.2">
      <c r="A403" s="14">
        <v>24858</v>
      </c>
      <c r="B403" s="102" t="s">
        <v>329</v>
      </c>
      <c r="C403" s="30" t="s">
        <v>3</v>
      </c>
      <c r="D403" s="122">
        <v>8.3796296296296292E-3</v>
      </c>
      <c r="E403" s="122" t="s">
        <v>422</v>
      </c>
      <c r="F403" s="122" t="b">
        <v>1</v>
      </c>
      <c r="G403" s="19"/>
      <c r="H403" s="30"/>
      <c r="I403" s="78"/>
      <c r="J403" s="79"/>
      <c r="K403" s="80" t="b">
        <v>1</v>
      </c>
      <c r="L403" s="80" t="s">
        <v>231</v>
      </c>
      <c r="M403" s="179">
        <v>42096.403437499997</v>
      </c>
    </row>
    <row r="404" spans="1:13" hidden="1" outlineLevel="2" x14ac:dyDescent="0.2">
      <c r="A404" s="14">
        <v>24859</v>
      </c>
      <c r="B404" s="102" t="s">
        <v>330</v>
      </c>
      <c r="C404" s="30" t="s">
        <v>3</v>
      </c>
      <c r="D404" s="122">
        <v>2.7777777777777779E-3</v>
      </c>
      <c r="E404" s="122" t="s">
        <v>422</v>
      </c>
      <c r="F404" s="122" t="b">
        <v>1</v>
      </c>
      <c r="G404" s="19"/>
      <c r="H404" s="30"/>
      <c r="I404" s="78"/>
      <c r="J404" s="79"/>
      <c r="K404" s="80" t="b">
        <v>1</v>
      </c>
      <c r="L404" s="80" t="s">
        <v>231</v>
      </c>
      <c r="M404" s="179">
        <v>42086.402858796297</v>
      </c>
    </row>
    <row r="405" spans="1:13" ht="89.25" hidden="1" customHeight="1" outlineLevel="2" x14ac:dyDescent="0.2">
      <c r="A405" s="14">
        <v>24862</v>
      </c>
      <c r="B405" s="102" t="s">
        <v>331</v>
      </c>
      <c r="C405" s="30" t="s">
        <v>3</v>
      </c>
      <c r="D405" s="122">
        <v>2.4537037037037036E-3</v>
      </c>
      <c r="E405" s="122" t="s">
        <v>422</v>
      </c>
      <c r="F405" s="122" t="b">
        <v>1</v>
      </c>
      <c r="G405" s="19"/>
      <c r="H405" s="143" t="s">
        <v>435</v>
      </c>
      <c r="I405" s="78"/>
      <c r="J405" s="79"/>
      <c r="K405" s="80" t="b">
        <v>1</v>
      </c>
      <c r="L405" s="80" t="s">
        <v>231</v>
      </c>
      <c r="M405" s="179">
        <v>42086.402870370373</v>
      </c>
    </row>
    <row r="406" spans="1:13" ht="15" hidden="1" customHeight="1" outlineLevel="2" x14ac:dyDescent="0.2">
      <c r="A406" s="14">
        <v>24865</v>
      </c>
      <c r="B406" s="102" t="s">
        <v>332</v>
      </c>
      <c r="C406" s="30" t="s">
        <v>3</v>
      </c>
      <c r="D406" s="122">
        <v>2.3611111111111111E-3</v>
      </c>
      <c r="E406" s="122" t="s">
        <v>422</v>
      </c>
      <c r="F406" s="122" t="b">
        <v>1</v>
      </c>
      <c r="G406" s="19"/>
      <c r="H406" s="30"/>
      <c r="I406" s="78"/>
      <c r="J406" s="79"/>
      <c r="K406" s="80" t="b">
        <v>1</v>
      </c>
      <c r="L406" s="80" t="s">
        <v>231</v>
      </c>
      <c r="M406" s="179">
        <v>42020</v>
      </c>
    </row>
    <row r="407" spans="1:13" hidden="1" outlineLevel="1" x14ac:dyDescent="0.25">
      <c r="A407" s="12"/>
      <c r="B407" s="12" t="s">
        <v>333</v>
      </c>
      <c r="C407" s="12"/>
      <c r="D407" s="121"/>
      <c r="E407" s="121"/>
      <c r="F407" s="121"/>
      <c r="G407" s="12"/>
      <c r="H407" s="12"/>
      <c r="I407" s="12"/>
      <c r="J407" s="12"/>
      <c r="K407" s="12"/>
      <c r="L407" s="12"/>
      <c r="M407" s="12"/>
    </row>
    <row r="408" spans="1:13" ht="25.5" hidden="1" customHeight="1" outlineLevel="2" x14ac:dyDescent="0.2">
      <c r="A408" s="14">
        <v>24864</v>
      </c>
      <c r="B408" s="102" t="s">
        <v>334</v>
      </c>
      <c r="C408" s="30" t="s">
        <v>3</v>
      </c>
      <c r="D408" s="122">
        <v>8.5416666666666679E-3</v>
      </c>
      <c r="E408" s="122" t="s">
        <v>422</v>
      </c>
      <c r="F408" s="122" t="b">
        <v>1</v>
      </c>
      <c r="G408" s="19"/>
      <c r="H408" s="30"/>
      <c r="I408" s="78"/>
      <c r="J408" s="79"/>
      <c r="K408" s="80" t="b">
        <v>1</v>
      </c>
      <c r="L408" s="80" t="s">
        <v>231</v>
      </c>
      <c r="M408" s="179">
        <v>42096.40353009259</v>
      </c>
    </row>
    <row r="409" spans="1:13" ht="25.5" hidden="1" customHeight="1" outlineLevel="2" x14ac:dyDescent="0.2">
      <c r="A409" s="14">
        <v>24860</v>
      </c>
      <c r="B409" s="102" t="s">
        <v>335</v>
      </c>
      <c r="C409" s="30" t="s">
        <v>3</v>
      </c>
      <c r="D409" s="122">
        <v>4.7800925925925919E-3</v>
      </c>
      <c r="E409" s="122" t="s">
        <v>422</v>
      </c>
      <c r="F409" s="122" t="b">
        <v>1</v>
      </c>
      <c r="G409" s="19"/>
      <c r="H409" s="30"/>
      <c r="I409" s="78"/>
      <c r="J409" s="79"/>
      <c r="K409" s="80" t="b">
        <v>1</v>
      </c>
      <c r="L409" s="80" t="s">
        <v>231</v>
      </c>
      <c r="M409" s="179">
        <v>42020</v>
      </c>
    </row>
    <row r="410" spans="1:13" ht="15" hidden="1" customHeight="1" outlineLevel="2" x14ac:dyDescent="0.2">
      <c r="A410" s="14">
        <v>24929</v>
      </c>
      <c r="B410" s="102" t="s">
        <v>336</v>
      </c>
      <c r="C410" s="30" t="s">
        <v>3</v>
      </c>
      <c r="D410" s="122">
        <v>7.4305555555555548E-3</v>
      </c>
      <c r="E410" s="122" t="s">
        <v>422</v>
      </c>
      <c r="F410" s="122" t="b">
        <v>1</v>
      </c>
      <c r="G410" s="19"/>
      <c r="H410" s="30"/>
      <c r="I410" s="78"/>
      <c r="J410" s="79"/>
      <c r="K410" s="80" t="b">
        <v>1</v>
      </c>
      <c r="L410" s="80" t="s">
        <v>231</v>
      </c>
      <c r="M410" s="179">
        <v>42020</v>
      </c>
    </row>
    <row r="411" spans="1:13" hidden="1" outlineLevel="1" x14ac:dyDescent="0.25">
      <c r="A411" s="12"/>
      <c r="B411" s="12" t="s">
        <v>337</v>
      </c>
      <c r="C411" s="12"/>
      <c r="D411" s="121"/>
      <c r="E411" s="121"/>
      <c r="F411" s="121"/>
      <c r="G411" s="12"/>
      <c r="H411" s="12"/>
      <c r="I411" s="12"/>
      <c r="J411" s="12"/>
      <c r="K411" s="12"/>
      <c r="L411" s="12"/>
      <c r="M411" s="12"/>
    </row>
    <row r="412" spans="1:13" ht="26.25" hidden="1" customHeight="1" outlineLevel="2" x14ac:dyDescent="0.2">
      <c r="A412" s="14">
        <v>24922</v>
      </c>
      <c r="B412" s="105" t="s">
        <v>338</v>
      </c>
      <c r="C412" s="30" t="s">
        <v>3</v>
      </c>
      <c r="D412" s="122">
        <v>7.2800925925925915E-3</v>
      </c>
      <c r="E412" s="122" t="s">
        <v>422</v>
      </c>
      <c r="F412" s="122" t="b">
        <v>1</v>
      </c>
      <c r="G412" s="30"/>
      <c r="H412" s="30"/>
      <c r="I412" s="78"/>
      <c r="J412" s="79"/>
      <c r="K412" s="80" t="b">
        <v>1</v>
      </c>
      <c r="L412" s="80" t="s">
        <v>231</v>
      </c>
      <c r="M412" s="179">
        <v>42097.478206018517</v>
      </c>
    </row>
    <row r="413" spans="1:13" ht="25.5" hidden="1" customHeight="1" outlineLevel="2" x14ac:dyDescent="0.25">
      <c r="A413" s="14">
        <v>24923</v>
      </c>
      <c r="B413" s="106" t="s">
        <v>339</v>
      </c>
      <c r="C413" s="30" t="s">
        <v>3</v>
      </c>
      <c r="D413" s="122">
        <v>6.9444444444444441E-3</v>
      </c>
      <c r="E413" s="122" t="s">
        <v>422</v>
      </c>
      <c r="F413" s="122" t="b">
        <v>1</v>
      </c>
      <c r="G413" s="30"/>
      <c r="H413" s="30"/>
      <c r="I413" s="78"/>
      <c r="J413" s="79"/>
      <c r="K413" s="80" t="b">
        <v>1</v>
      </c>
      <c r="L413" s="80" t="s">
        <v>231</v>
      </c>
      <c r="M413" s="179">
        <v>42111.410428240742</v>
      </c>
    </row>
    <row r="414" spans="1:13" ht="26.25" hidden="1" customHeight="1" outlineLevel="2" x14ac:dyDescent="0.2">
      <c r="A414" s="14">
        <v>24924</v>
      </c>
      <c r="B414" s="105" t="s">
        <v>340</v>
      </c>
      <c r="C414" s="30" t="s">
        <v>3</v>
      </c>
      <c r="D414" s="122">
        <v>4.1666666666666666E-3</v>
      </c>
      <c r="E414" s="122" t="s">
        <v>422</v>
      </c>
      <c r="F414" s="122" t="b">
        <v>1</v>
      </c>
      <c r="G414" s="30"/>
      <c r="H414" s="30"/>
      <c r="I414" s="78"/>
      <c r="J414" s="79"/>
      <c r="K414" s="80" t="b">
        <v>1</v>
      </c>
      <c r="L414" s="80" t="s">
        <v>231</v>
      </c>
      <c r="M414" s="179">
        <v>42108.400601851848</v>
      </c>
    </row>
    <row r="415" spans="1:13" ht="15" hidden="1" customHeight="1" outlineLevel="2" x14ac:dyDescent="0.2">
      <c r="A415" s="14">
        <v>24925</v>
      </c>
      <c r="B415" s="26" t="s">
        <v>341</v>
      </c>
      <c r="C415" s="30" t="s">
        <v>3</v>
      </c>
      <c r="D415" s="122">
        <v>5.5555555555555558E-3</v>
      </c>
      <c r="E415" s="122" t="s">
        <v>422</v>
      </c>
      <c r="F415" s="122" t="b">
        <v>1</v>
      </c>
      <c r="G415" s="30"/>
      <c r="H415" s="30"/>
      <c r="I415" s="78"/>
      <c r="J415" s="79"/>
      <c r="K415" s="80" t="b">
        <v>1</v>
      </c>
      <c r="L415" s="80" t="s">
        <v>231</v>
      </c>
      <c r="M415" s="179">
        <v>42020</v>
      </c>
    </row>
    <row r="416" spans="1:13" ht="51" hidden="1" customHeight="1" outlineLevel="2" x14ac:dyDescent="0.2">
      <c r="A416" s="14">
        <v>25086</v>
      </c>
      <c r="B416" s="26" t="s">
        <v>342</v>
      </c>
      <c r="C416" s="30" t="s">
        <v>3</v>
      </c>
      <c r="D416" s="122">
        <v>4.1666666666666666E-3</v>
      </c>
      <c r="E416" s="122" t="s">
        <v>422</v>
      </c>
      <c r="F416" s="122" t="b">
        <v>1</v>
      </c>
      <c r="G416" s="30"/>
      <c r="H416" s="145" t="s">
        <v>516</v>
      </c>
      <c r="I416" s="78"/>
      <c r="J416" s="79"/>
      <c r="K416" s="80" t="b">
        <v>1</v>
      </c>
      <c r="L416" s="80" t="s">
        <v>231</v>
      </c>
      <c r="M416" s="179">
        <v>42020</v>
      </c>
    </row>
    <row r="417" spans="1:13" ht="15" hidden="1" customHeight="1" outlineLevel="2" x14ac:dyDescent="0.2">
      <c r="A417" s="14">
        <v>32012</v>
      </c>
      <c r="B417" s="26" t="s">
        <v>343</v>
      </c>
      <c r="C417" s="30" t="s">
        <v>3</v>
      </c>
      <c r="D417" s="122">
        <v>6.4814814814814813E-3</v>
      </c>
      <c r="E417" s="122" t="s">
        <v>422</v>
      </c>
      <c r="F417" s="122" t="b">
        <v>0</v>
      </c>
      <c r="G417" s="30"/>
      <c r="H417" s="30"/>
      <c r="I417" s="78"/>
      <c r="J417" s="79"/>
      <c r="K417" s="80" t="b">
        <v>1</v>
      </c>
      <c r="L417" s="80" t="s">
        <v>231</v>
      </c>
      <c r="M417" s="179">
        <v>42020</v>
      </c>
    </row>
    <row r="418" spans="1:13" ht="15" hidden="1" customHeight="1" outlineLevel="2" x14ac:dyDescent="0.2">
      <c r="A418" s="14">
        <v>25068</v>
      </c>
      <c r="B418" s="26" t="s">
        <v>344</v>
      </c>
      <c r="C418" s="30" t="s">
        <v>3</v>
      </c>
      <c r="D418" s="122">
        <v>1.298611111111111E-2</v>
      </c>
      <c r="E418" s="122" t="s">
        <v>422</v>
      </c>
      <c r="F418" s="122" t="b">
        <v>1</v>
      </c>
      <c r="G418" s="30"/>
      <c r="H418" s="30"/>
      <c r="I418" s="78"/>
      <c r="J418" s="79"/>
      <c r="K418" s="80" t="b">
        <v>1</v>
      </c>
      <c r="L418" s="80" t="s">
        <v>231</v>
      </c>
      <c r="M418" s="179">
        <v>42020</v>
      </c>
    </row>
    <row r="419" spans="1:13" ht="114.75" hidden="1" customHeight="1" outlineLevel="2" x14ac:dyDescent="0.2">
      <c r="A419" s="14">
        <v>25069</v>
      </c>
      <c r="B419" s="26" t="s">
        <v>345</v>
      </c>
      <c r="C419" s="30" t="s">
        <v>3</v>
      </c>
      <c r="D419" s="122">
        <v>1.1805555555555555E-2</v>
      </c>
      <c r="E419" s="122" t="s">
        <v>422</v>
      </c>
      <c r="F419" s="122" t="b">
        <v>1</v>
      </c>
      <c r="G419" s="30"/>
      <c r="H419" s="31" t="s">
        <v>436</v>
      </c>
      <c r="I419" s="78"/>
      <c r="J419" s="79"/>
      <c r="K419" s="80" t="b">
        <v>1</v>
      </c>
      <c r="L419" s="80" t="s">
        <v>231</v>
      </c>
      <c r="M419" s="179">
        <v>42020</v>
      </c>
    </row>
    <row r="420" spans="1:13" ht="25.5" hidden="1" customHeight="1" outlineLevel="2" x14ac:dyDescent="0.2">
      <c r="A420" s="14">
        <v>25074</v>
      </c>
      <c r="B420" s="26" t="s">
        <v>346</v>
      </c>
      <c r="C420" s="30" t="s">
        <v>3</v>
      </c>
      <c r="D420" s="122">
        <v>1.0416666666666666E-2</v>
      </c>
      <c r="E420" s="122" t="s">
        <v>422</v>
      </c>
      <c r="F420" s="159" t="b">
        <v>0</v>
      </c>
      <c r="G420" s="30"/>
      <c r="H420" s="30"/>
      <c r="I420" s="78"/>
      <c r="J420" s="79"/>
      <c r="K420" s="130" t="b">
        <v>0</v>
      </c>
      <c r="L420" s="80" t="s">
        <v>231</v>
      </c>
      <c r="M420" s="179">
        <v>42103.693923611114</v>
      </c>
    </row>
    <row r="421" spans="1:13" ht="15" hidden="1" customHeight="1" outlineLevel="2" x14ac:dyDescent="0.2">
      <c r="A421" s="131">
        <v>29016</v>
      </c>
      <c r="B421" s="26" t="s">
        <v>497</v>
      </c>
      <c r="C421" s="30" t="s">
        <v>3</v>
      </c>
      <c r="D421" s="122">
        <v>4.0740740740740746E-3</v>
      </c>
      <c r="E421" s="122" t="s">
        <v>422</v>
      </c>
      <c r="F421" s="122" t="b">
        <v>0</v>
      </c>
      <c r="G421" s="30"/>
      <c r="H421" s="30"/>
      <c r="I421" s="30"/>
      <c r="J421" s="30"/>
      <c r="K421" s="80" t="b">
        <v>1</v>
      </c>
      <c r="L421" s="80" t="s">
        <v>231</v>
      </c>
      <c r="M421" s="30">
        <v>42020</v>
      </c>
    </row>
    <row r="422" spans="1:13" hidden="1" outlineLevel="1" x14ac:dyDescent="0.25">
      <c r="A422" s="207"/>
      <c r="B422" s="12" t="s">
        <v>598</v>
      </c>
      <c r="C422" s="12"/>
      <c r="D422" s="121"/>
      <c r="E422" s="121"/>
      <c r="F422" s="121"/>
      <c r="G422" s="12"/>
      <c r="H422" s="12"/>
      <c r="I422" s="12"/>
      <c r="J422" s="12"/>
      <c r="K422" s="12"/>
      <c r="L422" s="12"/>
      <c r="M422" s="185"/>
    </row>
    <row r="423" spans="1:13" ht="25.5" hidden="1" outlineLevel="2" x14ac:dyDescent="0.25">
      <c r="A423" s="208">
        <v>24836</v>
      </c>
      <c r="B423" s="61" t="s">
        <v>317</v>
      </c>
      <c r="C423" s="30" t="s">
        <v>3</v>
      </c>
      <c r="D423" s="122">
        <v>2.0150462962962964E-2</v>
      </c>
      <c r="E423" s="122" t="s">
        <v>423</v>
      </c>
      <c r="F423" s="122" t="b">
        <v>1</v>
      </c>
      <c r="G423" s="175" t="s">
        <v>347</v>
      </c>
      <c r="H423" s="180" t="s">
        <v>571</v>
      </c>
      <c r="I423" s="30"/>
      <c r="J423" s="34"/>
      <c r="K423" s="35" t="b">
        <v>0</v>
      </c>
      <c r="L423" s="35" t="s">
        <v>231</v>
      </c>
      <c r="M423" s="221">
        <v>42139.47216435185</v>
      </c>
    </row>
    <row r="424" spans="1:13" hidden="1" outlineLevel="1" x14ac:dyDescent="0.25">
      <c r="A424" s="207"/>
      <c r="B424" s="12" t="s">
        <v>599</v>
      </c>
      <c r="C424" s="12"/>
      <c r="D424" s="121"/>
      <c r="E424" s="121"/>
      <c r="F424" s="121"/>
      <c r="G424" s="12"/>
      <c r="H424" s="12"/>
      <c r="I424" s="12"/>
      <c r="J424" s="12"/>
      <c r="K424" s="12"/>
      <c r="L424" s="12"/>
      <c r="M424" s="185"/>
    </row>
    <row r="425" spans="1:13" ht="25.5" hidden="1" outlineLevel="2" x14ac:dyDescent="0.25">
      <c r="A425" s="208">
        <v>24841</v>
      </c>
      <c r="B425" s="104" t="s">
        <v>322</v>
      </c>
      <c r="C425" s="30" t="s">
        <v>3</v>
      </c>
      <c r="D425" s="122">
        <v>6.9444444444444441E-3</v>
      </c>
      <c r="E425" s="122" t="s">
        <v>423</v>
      </c>
      <c r="F425" s="122" t="b">
        <v>1</v>
      </c>
      <c r="G425" s="19"/>
      <c r="H425" s="180" t="s">
        <v>571</v>
      </c>
      <c r="I425" s="30"/>
      <c r="J425" s="34"/>
      <c r="K425" s="35" t="b">
        <v>0</v>
      </c>
      <c r="L425" s="35" t="s">
        <v>231</v>
      </c>
      <c r="M425" s="221">
        <v>42139.472187500003</v>
      </c>
    </row>
    <row r="426" spans="1:13" hidden="1" outlineLevel="2" x14ac:dyDescent="0.2">
      <c r="A426" s="208">
        <v>24863</v>
      </c>
      <c r="B426" s="105" t="s">
        <v>323</v>
      </c>
      <c r="C426" s="30" t="s">
        <v>3</v>
      </c>
      <c r="D426" s="122">
        <v>2.5578703703703705E-3</v>
      </c>
      <c r="E426" s="122" t="s">
        <v>423</v>
      </c>
      <c r="F426" s="122" t="b">
        <v>1</v>
      </c>
      <c r="G426" s="19"/>
      <c r="H426" s="30"/>
      <c r="I426" s="30"/>
      <c r="J426" s="34"/>
      <c r="K426" s="35" t="b">
        <v>0</v>
      </c>
      <c r="L426" s="35" t="s">
        <v>231</v>
      </c>
      <c r="M426" s="221">
        <v>42048.64203703704</v>
      </c>
    </row>
    <row r="427" spans="1:13" hidden="1" outlineLevel="2" x14ac:dyDescent="0.2">
      <c r="A427" s="208">
        <v>24878</v>
      </c>
      <c r="B427" s="102" t="s">
        <v>324</v>
      </c>
      <c r="C427" s="30" t="s">
        <v>3</v>
      </c>
      <c r="D427" s="122">
        <v>3.6111111111111114E-3</v>
      </c>
      <c r="E427" s="122" t="s">
        <v>423</v>
      </c>
      <c r="F427" s="122" t="b">
        <v>1</v>
      </c>
      <c r="G427" s="19"/>
      <c r="H427" s="30"/>
      <c r="I427" s="30"/>
      <c r="J427" s="34"/>
      <c r="K427" s="35" t="b">
        <v>0</v>
      </c>
      <c r="L427" s="35" t="s">
        <v>231</v>
      </c>
      <c r="M427" s="221">
        <v>42020</v>
      </c>
    </row>
    <row r="428" spans="1:13" hidden="1" outlineLevel="2" x14ac:dyDescent="0.2">
      <c r="A428" s="208">
        <v>24837</v>
      </c>
      <c r="B428" s="105" t="s">
        <v>325</v>
      </c>
      <c r="C428" s="30" t="s">
        <v>3</v>
      </c>
      <c r="D428" s="122">
        <v>4.6180555555555558E-3</v>
      </c>
      <c r="E428" s="122" t="s">
        <v>423</v>
      </c>
      <c r="F428" s="122" t="b">
        <v>1</v>
      </c>
      <c r="G428" s="19"/>
      <c r="H428" s="30"/>
      <c r="I428" s="30"/>
      <c r="J428" s="34"/>
      <c r="K428" s="35" t="b">
        <v>0</v>
      </c>
      <c r="L428" s="35" t="s">
        <v>231</v>
      </c>
      <c r="M428" s="221">
        <v>42020</v>
      </c>
    </row>
    <row r="429" spans="1:13" hidden="1" outlineLevel="2" x14ac:dyDescent="0.2">
      <c r="A429" s="208">
        <v>24842</v>
      </c>
      <c r="B429" s="105" t="s">
        <v>326</v>
      </c>
      <c r="C429" s="30" t="s">
        <v>3</v>
      </c>
      <c r="D429" s="122">
        <v>8.5763888888888886E-3</v>
      </c>
      <c r="E429" s="122" t="s">
        <v>423</v>
      </c>
      <c r="F429" s="122" t="b">
        <v>1</v>
      </c>
      <c r="G429" s="19"/>
      <c r="H429" s="30"/>
      <c r="I429" s="30"/>
      <c r="J429" s="34"/>
      <c r="K429" s="35" t="b">
        <v>0</v>
      </c>
      <c r="L429" s="35" t="s">
        <v>231</v>
      </c>
      <c r="M429" s="221">
        <v>42020</v>
      </c>
    </row>
    <row r="430" spans="1:13" hidden="1" outlineLevel="2" x14ac:dyDescent="0.2">
      <c r="A430" s="208">
        <v>24838</v>
      </c>
      <c r="B430" s="105" t="s">
        <v>327</v>
      </c>
      <c r="C430" s="30" t="s">
        <v>3</v>
      </c>
      <c r="D430" s="122">
        <v>4.5486111111111109E-3</v>
      </c>
      <c r="E430" s="122" t="s">
        <v>423</v>
      </c>
      <c r="F430" s="122" t="b">
        <v>1</v>
      </c>
      <c r="G430" s="19"/>
      <c r="H430" s="30"/>
      <c r="I430" s="30"/>
      <c r="J430" s="34"/>
      <c r="K430" s="35" t="b">
        <v>0</v>
      </c>
      <c r="L430" s="35" t="s">
        <v>231</v>
      </c>
      <c r="M430" s="221">
        <v>42020</v>
      </c>
    </row>
    <row r="431" spans="1:13" hidden="1" outlineLevel="1" x14ac:dyDescent="0.25">
      <c r="A431" s="222"/>
      <c r="B431" s="223" t="s">
        <v>599</v>
      </c>
      <c r="C431" s="223"/>
      <c r="D431" s="121"/>
      <c r="E431" s="163"/>
      <c r="F431" s="163"/>
      <c r="G431" s="223"/>
      <c r="H431" s="223"/>
      <c r="I431" s="223"/>
      <c r="J431" s="223"/>
      <c r="K431" s="223"/>
      <c r="L431" s="223"/>
      <c r="M431" s="224"/>
    </row>
    <row r="432" spans="1:13" ht="25.5" hidden="1" outlineLevel="2" x14ac:dyDescent="0.2">
      <c r="A432" s="215">
        <v>25085</v>
      </c>
      <c r="B432" s="225" t="s">
        <v>496</v>
      </c>
      <c r="C432" s="226" t="s">
        <v>9</v>
      </c>
      <c r="D432" s="201">
        <v>3.229166666666667E-2</v>
      </c>
      <c r="E432" s="201" t="s">
        <v>423</v>
      </c>
      <c r="F432" s="201" t="b">
        <v>1</v>
      </c>
      <c r="G432" s="226"/>
      <c r="H432" s="226"/>
      <c r="I432" s="226"/>
      <c r="J432" s="219"/>
      <c r="K432" s="205" t="b">
        <v>0</v>
      </c>
      <c r="L432" s="205" t="s">
        <v>231</v>
      </c>
      <c r="M432" s="227">
        <v>42111.410520833335</v>
      </c>
    </row>
    <row r="434" spans="1:14" ht="37.5" customHeight="1" x14ac:dyDescent="0.25">
      <c r="B434" s="77" t="s">
        <v>613</v>
      </c>
      <c r="C434" s="271"/>
      <c r="D434" s="271"/>
      <c r="E434" s="271"/>
      <c r="F434" s="272"/>
      <c r="G434" s="272"/>
      <c r="H434" s="272"/>
      <c r="I434" s="272"/>
      <c r="J434" s="272"/>
      <c r="K434" s="272"/>
      <c r="L434" s="272"/>
      <c r="M434" s="272"/>
    </row>
    <row r="435" spans="1:14" s="25" customFormat="1" ht="30" collapsed="1" x14ac:dyDescent="0.25">
      <c r="A435" s="21" t="s">
        <v>0</v>
      </c>
      <c r="B435" s="21" t="s">
        <v>1</v>
      </c>
      <c r="C435" s="21" t="s">
        <v>2</v>
      </c>
      <c r="D435" s="21" t="s">
        <v>420</v>
      </c>
      <c r="E435" s="21" t="s">
        <v>556</v>
      </c>
      <c r="F435" s="21" t="s">
        <v>507</v>
      </c>
      <c r="G435" s="21" t="s">
        <v>4</v>
      </c>
      <c r="H435" s="21" t="s">
        <v>31</v>
      </c>
      <c r="I435" s="22" t="s">
        <v>511</v>
      </c>
      <c r="J435" s="23" t="s">
        <v>510</v>
      </c>
      <c r="K435" s="24" t="s">
        <v>508</v>
      </c>
      <c r="L435" s="22" t="s">
        <v>509</v>
      </c>
      <c r="M435" s="22" t="s">
        <v>554</v>
      </c>
      <c r="N435" s="54"/>
    </row>
    <row r="436" spans="1:14" hidden="1" outlineLevel="1" x14ac:dyDescent="0.25">
      <c r="A436" s="12"/>
      <c r="B436" s="12" t="s">
        <v>348</v>
      </c>
      <c r="C436" s="12"/>
      <c r="D436" s="121" t="e">
        <f>SumTestCase(Table_6[Run Time],Testcase_Color,Workflow_Color)</f>
        <v>#VALUE!</v>
      </c>
      <c r="E436" s="121"/>
      <c r="F436" s="121"/>
      <c r="G436" s="12"/>
      <c r="H436" s="12"/>
      <c r="I436" s="12"/>
      <c r="J436" s="12"/>
      <c r="K436" s="12"/>
      <c r="L436" s="12"/>
      <c r="M436" s="12"/>
    </row>
    <row r="437" spans="1:14" ht="25.5" hidden="1" customHeight="1" outlineLevel="2" x14ac:dyDescent="0.2">
      <c r="A437" s="14">
        <v>25590</v>
      </c>
      <c r="B437" s="52" t="s">
        <v>349</v>
      </c>
      <c r="C437" s="91" t="s">
        <v>3</v>
      </c>
      <c r="D437" s="122">
        <v>1.0416666666666666E-2</v>
      </c>
      <c r="E437" s="122" t="s">
        <v>422</v>
      </c>
      <c r="F437" s="122" t="b">
        <v>1</v>
      </c>
      <c r="G437" s="94"/>
      <c r="H437" s="136" t="s">
        <v>429</v>
      </c>
      <c r="I437" s="78"/>
      <c r="J437" s="79"/>
      <c r="K437" s="35" t="b">
        <v>1</v>
      </c>
      <c r="L437" s="33" t="s">
        <v>232</v>
      </c>
      <c r="M437" s="179">
        <v>42020</v>
      </c>
    </row>
    <row r="438" spans="1:14" ht="76.5" hidden="1" customHeight="1" outlineLevel="2" x14ac:dyDescent="0.2">
      <c r="A438" s="14">
        <v>25591</v>
      </c>
      <c r="B438" s="52" t="s">
        <v>350</v>
      </c>
      <c r="C438" s="91" t="s">
        <v>3</v>
      </c>
      <c r="D438" s="122">
        <v>1.3888888888888888E-2</v>
      </c>
      <c r="E438" s="122" t="s">
        <v>422</v>
      </c>
      <c r="F438" s="122" t="b">
        <v>1</v>
      </c>
      <c r="G438" s="94"/>
      <c r="H438" s="137" t="s">
        <v>432</v>
      </c>
      <c r="I438" s="78"/>
      <c r="J438" s="79"/>
      <c r="K438" s="35" t="b">
        <v>1</v>
      </c>
      <c r="L438" s="33" t="s">
        <v>232</v>
      </c>
      <c r="M438" s="179">
        <v>42020</v>
      </c>
    </row>
    <row r="439" spans="1:14" ht="38.25" hidden="1" customHeight="1" outlineLevel="2" x14ac:dyDescent="0.2">
      <c r="A439" s="14">
        <v>25592</v>
      </c>
      <c r="B439" s="52" t="s">
        <v>351</v>
      </c>
      <c r="C439" s="91" t="s">
        <v>3</v>
      </c>
      <c r="D439" s="122">
        <v>1.0416666666666666E-2</v>
      </c>
      <c r="E439" s="122" t="s">
        <v>422</v>
      </c>
      <c r="F439" s="122" t="b">
        <v>1</v>
      </c>
      <c r="G439" s="94"/>
      <c r="H439" s="137" t="s">
        <v>502</v>
      </c>
      <c r="I439" s="78"/>
      <c r="J439" s="79"/>
      <c r="K439" s="35" t="b">
        <v>1</v>
      </c>
      <c r="L439" s="33" t="s">
        <v>232</v>
      </c>
      <c r="M439" s="179">
        <v>42020</v>
      </c>
    </row>
    <row r="440" spans="1:14" ht="38.25" hidden="1" customHeight="1" outlineLevel="2" x14ac:dyDescent="0.2">
      <c r="A440" s="14">
        <v>25600</v>
      </c>
      <c r="B440" s="52" t="s">
        <v>352</v>
      </c>
      <c r="C440" s="91" t="s">
        <v>3</v>
      </c>
      <c r="D440" s="122">
        <v>9.0277777777777787E-3</v>
      </c>
      <c r="E440" s="122" t="s">
        <v>422</v>
      </c>
      <c r="F440" s="122" t="b">
        <v>1</v>
      </c>
      <c r="G440" s="94"/>
      <c r="H440" s="142" t="s">
        <v>433</v>
      </c>
      <c r="I440" s="78"/>
      <c r="J440" s="79"/>
      <c r="K440" s="35" t="b">
        <v>1</v>
      </c>
      <c r="L440" s="33" t="s">
        <v>232</v>
      </c>
      <c r="M440" s="179">
        <v>42020</v>
      </c>
    </row>
    <row r="441" spans="1:14" ht="15" hidden="1" customHeight="1" outlineLevel="2" x14ac:dyDescent="0.2">
      <c r="A441" s="14">
        <v>25642</v>
      </c>
      <c r="B441" s="52" t="s">
        <v>353</v>
      </c>
      <c r="C441" s="91" t="s">
        <v>3</v>
      </c>
      <c r="D441" s="122">
        <v>1.0416666666666666E-2</v>
      </c>
      <c r="E441" s="122" t="s">
        <v>422</v>
      </c>
      <c r="F441" s="122" t="b">
        <v>1</v>
      </c>
      <c r="G441" s="94"/>
      <c r="H441" s="137" t="s">
        <v>431</v>
      </c>
      <c r="I441" s="78"/>
      <c r="J441" s="79"/>
      <c r="K441" s="35" t="b">
        <v>1</v>
      </c>
      <c r="L441" s="33" t="s">
        <v>232</v>
      </c>
      <c r="M441" s="179">
        <v>42020</v>
      </c>
    </row>
    <row r="442" spans="1:14" ht="25.5" hidden="1" customHeight="1" outlineLevel="2" x14ac:dyDescent="0.2">
      <c r="A442" s="14">
        <v>25643</v>
      </c>
      <c r="B442" s="52" t="s">
        <v>354</v>
      </c>
      <c r="C442" s="91" t="s">
        <v>3</v>
      </c>
      <c r="D442" s="122">
        <v>6.9444444444444441E-3</v>
      </c>
      <c r="E442" s="122" t="s">
        <v>422</v>
      </c>
      <c r="F442" s="122" t="b">
        <v>1</v>
      </c>
      <c r="G442" s="94"/>
      <c r="H442" s="142" t="s">
        <v>503</v>
      </c>
      <c r="I442" s="78"/>
      <c r="J442" s="79"/>
      <c r="K442" s="35" t="b">
        <v>1</v>
      </c>
      <c r="L442" s="33" t="s">
        <v>232</v>
      </c>
      <c r="M442" s="179">
        <v>42020</v>
      </c>
    </row>
    <row r="443" spans="1:14" ht="38.25" hidden="1" customHeight="1" outlineLevel="2" x14ac:dyDescent="0.2">
      <c r="A443" s="14">
        <v>25644</v>
      </c>
      <c r="B443" s="52" t="s">
        <v>355</v>
      </c>
      <c r="C443" s="91" t="s">
        <v>3</v>
      </c>
      <c r="D443" s="122">
        <v>1.3888888888888888E-2</v>
      </c>
      <c r="E443" s="122" t="s">
        <v>422</v>
      </c>
      <c r="F443" s="122" t="b">
        <v>1</v>
      </c>
      <c r="G443" s="94"/>
      <c r="H443" s="137" t="s">
        <v>431</v>
      </c>
      <c r="I443" s="78"/>
      <c r="J443" s="79"/>
      <c r="K443" s="35" t="b">
        <v>1</v>
      </c>
      <c r="L443" s="33" t="s">
        <v>232</v>
      </c>
      <c r="M443" s="179">
        <v>42020</v>
      </c>
    </row>
    <row r="444" spans="1:14" ht="25.5" hidden="1" customHeight="1" outlineLevel="2" x14ac:dyDescent="0.2">
      <c r="A444" s="14">
        <v>25570</v>
      </c>
      <c r="B444" s="52" t="s">
        <v>356</v>
      </c>
      <c r="C444" s="91" t="s">
        <v>3</v>
      </c>
      <c r="D444" s="122">
        <v>3.472222222222222E-3</v>
      </c>
      <c r="E444" s="122" t="s">
        <v>422</v>
      </c>
      <c r="F444" s="122" t="b">
        <v>0</v>
      </c>
      <c r="G444" s="94"/>
      <c r="H444" s="91"/>
      <c r="I444" s="78"/>
      <c r="J444" s="79"/>
      <c r="K444" s="35" t="b">
        <v>1</v>
      </c>
      <c r="L444" s="33" t="s">
        <v>232</v>
      </c>
      <c r="M444" s="179">
        <v>42020</v>
      </c>
    </row>
    <row r="445" spans="1:14" ht="15" hidden="1" customHeight="1" outlineLevel="2" x14ac:dyDescent="0.2">
      <c r="A445" s="14">
        <v>25571</v>
      </c>
      <c r="B445" s="52" t="s">
        <v>357</v>
      </c>
      <c r="C445" s="91" t="s">
        <v>3</v>
      </c>
      <c r="D445" s="122">
        <v>2.2222222222222223E-2</v>
      </c>
      <c r="E445" s="122" t="s">
        <v>422</v>
      </c>
      <c r="F445" s="122" t="b">
        <v>0</v>
      </c>
      <c r="G445" s="94"/>
      <c r="H445" s="91"/>
      <c r="I445" s="78"/>
      <c r="J445" s="79"/>
      <c r="K445" s="35" t="b">
        <v>1</v>
      </c>
      <c r="L445" s="33" t="s">
        <v>232</v>
      </c>
      <c r="M445" s="179">
        <v>42020</v>
      </c>
    </row>
    <row r="446" spans="1:14" ht="38.25" hidden="1" customHeight="1" outlineLevel="2" x14ac:dyDescent="0.2">
      <c r="A446" s="14">
        <v>25530</v>
      </c>
      <c r="B446" s="52" t="s">
        <v>358</v>
      </c>
      <c r="C446" s="91" t="s">
        <v>3</v>
      </c>
      <c r="D446" s="122">
        <v>2.0833333333333333E-3</v>
      </c>
      <c r="E446" s="122" t="s">
        <v>422</v>
      </c>
      <c r="F446" s="122" t="b">
        <v>0</v>
      </c>
      <c r="G446" s="94"/>
      <c r="H446" s="91"/>
      <c r="I446" s="78"/>
      <c r="J446" s="79"/>
      <c r="K446" s="35" t="b">
        <v>1</v>
      </c>
      <c r="L446" s="33" t="s">
        <v>232</v>
      </c>
      <c r="M446" s="179">
        <v>42020</v>
      </c>
    </row>
    <row r="447" spans="1:14" ht="15" hidden="1" customHeight="1" outlineLevel="2" x14ac:dyDescent="0.25">
      <c r="A447" s="14">
        <v>25582</v>
      </c>
      <c r="B447" s="95" t="s">
        <v>359</v>
      </c>
      <c r="C447" s="91" t="s">
        <v>3</v>
      </c>
      <c r="D447" s="122">
        <v>4.1666666666666666E-3</v>
      </c>
      <c r="E447" s="122" t="s">
        <v>422</v>
      </c>
      <c r="F447" s="122" t="b">
        <v>0</v>
      </c>
      <c r="G447" s="94"/>
      <c r="H447" s="91"/>
      <c r="I447" s="78"/>
      <c r="J447" s="79"/>
      <c r="K447" s="35" t="b">
        <v>1</v>
      </c>
      <c r="L447" s="33" t="s">
        <v>232</v>
      </c>
      <c r="M447" s="179">
        <v>42020</v>
      </c>
    </row>
    <row r="448" spans="1:14" ht="38.25" hidden="1" customHeight="1" outlineLevel="2" x14ac:dyDescent="0.25">
      <c r="A448" s="14">
        <v>25576</v>
      </c>
      <c r="B448" s="95" t="s">
        <v>360</v>
      </c>
      <c r="C448" s="91" t="s">
        <v>3</v>
      </c>
      <c r="D448" s="122">
        <v>4.1666666666666666E-3</v>
      </c>
      <c r="E448" s="122" t="s">
        <v>422</v>
      </c>
      <c r="F448" s="122" t="b">
        <v>0</v>
      </c>
      <c r="G448" s="95"/>
      <c r="H448" s="140" t="s">
        <v>434</v>
      </c>
      <c r="I448" s="78"/>
      <c r="J448" s="79"/>
      <c r="K448" s="35" t="b">
        <v>1</v>
      </c>
      <c r="L448" s="33" t="s">
        <v>232</v>
      </c>
      <c r="M448" s="179">
        <v>42020</v>
      </c>
    </row>
    <row r="449" spans="1:21" ht="30" hidden="1" customHeight="1" outlineLevel="2" x14ac:dyDescent="0.25">
      <c r="A449" s="14">
        <v>25560</v>
      </c>
      <c r="B449" s="81" t="s">
        <v>361</v>
      </c>
      <c r="C449" s="91" t="s">
        <v>3</v>
      </c>
      <c r="D449" s="122">
        <v>4.8611111111111112E-3</v>
      </c>
      <c r="E449" s="122" t="s">
        <v>422</v>
      </c>
      <c r="F449" s="122" t="b">
        <v>0</v>
      </c>
      <c r="G449" s="95"/>
      <c r="H449" s="91"/>
      <c r="I449" s="78"/>
      <c r="J449" s="79"/>
      <c r="K449" s="35" t="b">
        <v>1</v>
      </c>
      <c r="L449" s="33" t="s">
        <v>232</v>
      </c>
      <c r="M449" s="179">
        <v>42020</v>
      </c>
    </row>
    <row r="450" spans="1:21" ht="30" hidden="1" customHeight="1" outlineLevel="2" x14ac:dyDescent="0.25">
      <c r="A450" s="14">
        <v>25635</v>
      </c>
      <c r="B450" s="95" t="s">
        <v>362</v>
      </c>
      <c r="C450" s="91" t="s">
        <v>3</v>
      </c>
      <c r="D450" s="122">
        <v>2.013888888888889E-2</v>
      </c>
      <c r="E450" s="122" t="s">
        <v>422</v>
      </c>
      <c r="F450" s="122" t="b">
        <v>0</v>
      </c>
      <c r="G450" s="95"/>
      <c r="H450" s="91"/>
      <c r="I450" s="78"/>
      <c r="J450" s="79"/>
      <c r="K450" s="35" t="b">
        <v>1</v>
      </c>
      <c r="L450" s="33" t="s">
        <v>232</v>
      </c>
      <c r="M450" s="179">
        <v>42020</v>
      </c>
    </row>
    <row r="451" spans="1:21" ht="30" hidden="1" customHeight="1" outlineLevel="2" x14ac:dyDescent="0.25">
      <c r="A451" s="14">
        <v>25564</v>
      </c>
      <c r="B451" s="95" t="s">
        <v>363</v>
      </c>
      <c r="C451" s="91" t="s">
        <v>3</v>
      </c>
      <c r="D451" s="122">
        <v>7.6388888888888886E-3</v>
      </c>
      <c r="E451" s="122" t="s">
        <v>422</v>
      </c>
      <c r="F451" s="122" t="b">
        <v>0</v>
      </c>
      <c r="G451" s="95"/>
      <c r="H451" s="91"/>
      <c r="I451" s="78"/>
      <c r="J451" s="79"/>
      <c r="K451" s="35" t="b">
        <v>1</v>
      </c>
      <c r="L451" s="33" t="s">
        <v>232</v>
      </c>
      <c r="M451" s="179">
        <v>42020</v>
      </c>
    </row>
    <row r="452" spans="1:21" ht="45" hidden="1" customHeight="1" outlineLevel="2" x14ac:dyDescent="0.25">
      <c r="A452" s="14">
        <v>25626</v>
      </c>
      <c r="B452" s="107" t="s">
        <v>364</v>
      </c>
      <c r="C452" s="91" t="s">
        <v>3</v>
      </c>
      <c r="D452" s="122">
        <v>4.1666666666666666E-3</v>
      </c>
      <c r="E452" s="122" t="s">
        <v>422</v>
      </c>
      <c r="F452" s="122" t="b">
        <v>0</v>
      </c>
      <c r="G452" s="95"/>
      <c r="H452" s="91"/>
      <c r="I452" s="78"/>
      <c r="J452" s="79"/>
      <c r="K452" s="35" t="b">
        <v>1</v>
      </c>
      <c r="L452" s="33" t="s">
        <v>232</v>
      </c>
      <c r="M452" s="179">
        <v>42020</v>
      </c>
    </row>
    <row r="453" spans="1:21" ht="30" hidden="1" customHeight="1" outlineLevel="2" x14ac:dyDescent="0.25">
      <c r="A453" s="14">
        <v>25581</v>
      </c>
      <c r="B453" s="95" t="s">
        <v>365</v>
      </c>
      <c r="C453" s="91" t="s">
        <v>3</v>
      </c>
      <c r="D453" s="122">
        <v>1.3888888888888889E-3</v>
      </c>
      <c r="E453" s="122" t="s">
        <v>422</v>
      </c>
      <c r="F453" s="122" t="b">
        <v>0</v>
      </c>
      <c r="G453" s="95"/>
      <c r="H453" s="91"/>
      <c r="I453" s="78"/>
      <c r="J453" s="79"/>
      <c r="K453" s="35" t="b">
        <v>1</v>
      </c>
      <c r="L453" s="33" t="s">
        <v>232</v>
      </c>
      <c r="M453" s="179">
        <v>42020</v>
      </c>
    </row>
    <row r="454" spans="1:21" ht="45" hidden="1" customHeight="1" outlineLevel="2" x14ac:dyDescent="0.25">
      <c r="A454" s="14">
        <v>25563</v>
      </c>
      <c r="B454" s="95" t="s">
        <v>366</v>
      </c>
      <c r="C454" s="76" t="s">
        <v>3</v>
      </c>
      <c r="D454" s="122">
        <v>3.472222222222222E-3</v>
      </c>
      <c r="E454" s="122" t="s">
        <v>422</v>
      </c>
      <c r="F454" s="122" t="b">
        <v>0</v>
      </c>
      <c r="G454" s="95"/>
      <c r="H454" s="38"/>
      <c r="I454" s="78"/>
      <c r="J454" s="79"/>
      <c r="K454" s="35" t="b">
        <v>1</v>
      </c>
      <c r="L454" s="33" t="s">
        <v>232</v>
      </c>
      <c r="M454" s="179">
        <v>42020</v>
      </c>
    </row>
    <row r="455" spans="1:21" ht="30" hidden="1" customHeight="1" outlineLevel="2" x14ac:dyDescent="0.25">
      <c r="A455" s="14">
        <v>25532</v>
      </c>
      <c r="B455" s="95" t="s">
        <v>367</v>
      </c>
      <c r="C455" s="30" t="s">
        <v>3</v>
      </c>
      <c r="D455" s="122">
        <v>2.7777777777777779E-3</v>
      </c>
      <c r="E455" s="122" t="s">
        <v>422</v>
      </c>
      <c r="F455" s="122" t="b">
        <v>0</v>
      </c>
      <c r="G455" s="95"/>
      <c r="H455" s="38"/>
      <c r="I455" s="78"/>
      <c r="J455" s="79"/>
      <c r="K455" s="35" t="b">
        <v>1</v>
      </c>
      <c r="L455" s="33" t="s">
        <v>232</v>
      </c>
      <c r="M455" s="179">
        <v>42020</v>
      </c>
    </row>
    <row r="456" spans="1:21" ht="30" hidden="1" customHeight="1" outlineLevel="2" x14ac:dyDescent="0.25">
      <c r="A456" s="14">
        <v>25575</v>
      </c>
      <c r="B456" s="95" t="s">
        <v>368</v>
      </c>
      <c r="C456" s="91" t="s">
        <v>3</v>
      </c>
      <c r="D456" s="122">
        <v>1.5277777777777777E-2</v>
      </c>
      <c r="E456" s="122" t="s">
        <v>422</v>
      </c>
      <c r="F456" s="122" t="b">
        <v>0</v>
      </c>
      <c r="G456" s="95"/>
      <c r="H456" s="136" t="s">
        <v>430</v>
      </c>
      <c r="I456" s="78"/>
      <c r="J456" s="79"/>
      <c r="K456" s="35" t="b">
        <v>1</v>
      </c>
      <c r="L456" s="33" t="s">
        <v>232</v>
      </c>
      <c r="M456" s="179">
        <v>42020</v>
      </c>
    </row>
    <row r="457" spans="1:21" ht="25.5" hidden="1" customHeight="1" outlineLevel="2" x14ac:dyDescent="0.25">
      <c r="A457" s="14">
        <v>25583</v>
      </c>
      <c r="B457" s="20" t="s">
        <v>369</v>
      </c>
      <c r="C457" s="91" t="s">
        <v>3</v>
      </c>
      <c r="D457" s="122">
        <v>3.472222222222222E-3</v>
      </c>
      <c r="E457" s="122" t="s">
        <v>422</v>
      </c>
      <c r="F457" s="122" t="b">
        <v>1</v>
      </c>
      <c r="G457" s="95"/>
      <c r="H457" s="38"/>
      <c r="I457" s="78"/>
      <c r="J457" s="79"/>
      <c r="K457" s="35" t="b">
        <v>1</v>
      </c>
      <c r="L457" s="33" t="s">
        <v>232</v>
      </c>
      <c r="M457" s="179">
        <v>42020</v>
      </c>
    </row>
    <row r="458" spans="1:21" ht="26.25" hidden="1" customHeight="1" outlineLevel="2" x14ac:dyDescent="0.25">
      <c r="A458" s="131">
        <v>25553</v>
      </c>
      <c r="B458" s="52" t="s">
        <v>370</v>
      </c>
      <c r="C458" s="91" t="s">
        <v>3</v>
      </c>
      <c r="D458" s="122">
        <v>3.472222222222222E-3</v>
      </c>
      <c r="E458" s="122" t="s">
        <v>422</v>
      </c>
      <c r="F458" s="122" t="b">
        <v>0</v>
      </c>
      <c r="G458" s="95"/>
      <c r="H458" s="38"/>
      <c r="I458" s="78"/>
      <c r="J458" s="79"/>
      <c r="K458" s="35" t="b">
        <v>1</v>
      </c>
      <c r="L458" s="33" t="s">
        <v>232</v>
      </c>
      <c r="M458" s="179">
        <v>42020</v>
      </c>
    </row>
    <row r="459" spans="1:21" ht="26.25" hidden="1" customHeight="1" outlineLevel="2" x14ac:dyDescent="0.25">
      <c r="A459" s="127">
        <v>25547</v>
      </c>
      <c r="B459" s="52" t="s">
        <v>371</v>
      </c>
      <c r="C459" s="91" t="s">
        <v>3</v>
      </c>
      <c r="D459" s="122">
        <v>4.8611111111111112E-3</v>
      </c>
      <c r="E459" s="122" t="s">
        <v>422</v>
      </c>
      <c r="F459" s="122" t="b">
        <v>0</v>
      </c>
      <c r="G459" s="95"/>
      <c r="H459" s="38"/>
      <c r="I459" s="78"/>
      <c r="J459" s="79"/>
      <c r="K459" s="35" t="b">
        <v>1</v>
      </c>
      <c r="L459" s="33" t="s">
        <v>232</v>
      </c>
      <c r="M459" s="179">
        <v>42020</v>
      </c>
    </row>
    <row r="460" spans="1:21" s="16" customFormat="1" ht="26.25" hidden="1" customHeight="1" outlineLevel="2" x14ac:dyDescent="0.25">
      <c r="A460" s="14">
        <v>25528</v>
      </c>
      <c r="B460" s="53" t="s">
        <v>372</v>
      </c>
      <c r="C460" s="91" t="s">
        <v>3</v>
      </c>
      <c r="D460" s="122">
        <v>2.7777777777777779E-3</v>
      </c>
      <c r="E460" s="122" t="s">
        <v>422</v>
      </c>
      <c r="F460" s="122" t="b">
        <v>1</v>
      </c>
      <c r="G460" s="95"/>
      <c r="H460" s="38"/>
      <c r="I460" s="78"/>
      <c r="J460" s="79"/>
      <c r="K460" s="35" t="b">
        <v>1</v>
      </c>
      <c r="L460" s="33" t="s">
        <v>232</v>
      </c>
      <c r="M460" s="179">
        <v>42020</v>
      </c>
      <c r="N460" s="1"/>
      <c r="O460" s="1"/>
      <c r="P460" s="1"/>
      <c r="Q460" s="1"/>
      <c r="R460" s="1"/>
      <c r="S460" s="1"/>
      <c r="T460" s="1"/>
      <c r="U460" s="1"/>
    </row>
    <row r="461" spans="1:21" s="16" customFormat="1" hidden="1" outlineLevel="1" x14ac:dyDescent="0.25">
      <c r="A461" s="12"/>
      <c r="B461" s="12" t="s">
        <v>373</v>
      </c>
      <c r="C461" s="12"/>
      <c r="D461" s="121" t="e">
        <f>SumTestCase(Table_6[Run Time],Testcase_Color,Workflow_Color)</f>
        <v>#VALUE!</v>
      </c>
      <c r="E461" s="121"/>
      <c r="F461" s="121"/>
      <c r="G461" s="12"/>
      <c r="H461" s="12"/>
      <c r="I461" s="12"/>
      <c r="J461" s="12"/>
      <c r="K461" s="12"/>
      <c r="L461" s="12"/>
      <c r="M461" s="12"/>
      <c r="N461" s="1"/>
      <c r="O461" s="1"/>
      <c r="P461" s="1"/>
      <c r="Q461" s="1"/>
      <c r="R461" s="1"/>
      <c r="S461" s="1"/>
      <c r="T461" s="1"/>
      <c r="U461" s="1"/>
    </row>
    <row r="462" spans="1:21" s="16" customFormat="1" ht="25.5" hidden="1" customHeight="1" outlineLevel="2" x14ac:dyDescent="0.2">
      <c r="A462" s="14">
        <v>32105</v>
      </c>
      <c r="B462" s="52" t="s">
        <v>374</v>
      </c>
      <c r="C462" s="91" t="s">
        <v>3</v>
      </c>
      <c r="D462" s="122">
        <v>4.0162037037037033E-3</v>
      </c>
      <c r="E462" s="122" t="s">
        <v>422</v>
      </c>
      <c r="F462" s="122" t="b">
        <v>0</v>
      </c>
      <c r="G462" s="94"/>
      <c r="H462" s="91"/>
      <c r="I462" s="78"/>
      <c r="J462" s="79"/>
      <c r="K462" s="35" t="b">
        <v>1</v>
      </c>
      <c r="L462" s="33" t="s">
        <v>232</v>
      </c>
      <c r="M462" s="179">
        <v>42020</v>
      </c>
      <c r="N462" s="1"/>
      <c r="O462" s="1"/>
      <c r="P462" s="1"/>
      <c r="Q462" s="1"/>
      <c r="R462" s="1"/>
      <c r="S462" s="1"/>
      <c r="T462" s="1"/>
      <c r="U462" s="1"/>
    </row>
    <row r="463" spans="1:21" s="16" customFormat="1" ht="15" hidden="1" customHeight="1" outlineLevel="2" x14ac:dyDescent="0.2">
      <c r="A463" s="14">
        <v>32083</v>
      </c>
      <c r="B463" s="52" t="s">
        <v>375</v>
      </c>
      <c r="C463" s="91" t="s">
        <v>3</v>
      </c>
      <c r="D463" s="122">
        <v>3.5416666666666665E-3</v>
      </c>
      <c r="E463" s="122" t="s">
        <v>422</v>
      </c>
      <c r="F463" s="122" t="b">
        <v>0</v>
      </c>
      <c r="G463" s="94"/>
      <c r="H463" s="91"/>
      <c r="I463" s="78"/>
      <c r="J463" s="79"/>
      <c r="K463" s="35" t="b">
        <v>1</v>
      </c>
      <c r="L463" s="33" t="s">
        <v>232</v>
      </c>
      <c r="M463" s="179">
        <v>42020</v>
      </c>
      <c r="N463" s="1"/>
      <c r="O463" s="1"/>
      <c r="P463" s="1"/>
      <c r="Q463" s="1"/>
      <c r="R463" s="1"/>
      <c r="S463" s="1"/>
      <c r="T463" s="1"/>
      <c r="U463" s="1"/>
    </row>
    <row r="464" spans="1:21" ht="25.5" hidden="1" customHeight="1" outlineLevel="2" x14ac:dyDescent="0.2">
      <c r="A464" s="14">
        <v>32086</v>
      </c>
      <c r="B464" s="52" t="s">
        <v>376</v>
      </c>
      <c r="C464" s="91" t="s">
        <v>3</v>
      </c>
      <c r="D464" s="122">
        <v>1.1319444444444444E-2</v>
      </c>
      <c r="E464" s="122" t="s">
        <v>422</v>
      </c>
      <c r="F464" s="122" t="b">
        <v>0</v>
      </c>
      <c r="G464" s="94"/>
      <c r="H464" s="141" t="s">
        <v>427</v>
      </c>
      <c r="I464" s="78"/>
      <c r="J464" s="79"/>
      <c r="K464" s="35" t="b">
        <v>1</v>
      </c>
      <c r="L464" s="33" t="s">
        <v>232</v>
      </c>
      <c r="M464" s="179">
        <v>42020</v>
      </c>
    </row>
    <row r="465" spans="1:13" ht="38.25" hidden="1" customHeight="1" outlineLevel="2" x14ac:dyDescent="0.2">
      <c r="A465" s="14">
        <v>28362</v>
      </c>
      <c r="B465" s="52" t="s">
        <v>377</v>
      </c>
      <c r="C465" s="91" t="s">
        <v>3</v>
      </c>
      <c r="D465" s="122">
        <v>2.4826388888888887E-2</v>
      </c>
      <c r="E465" s="122" t="s">
        <v>422</v>
      </c>
      <c r="F465" s="122" t="b">
        <v>1</v>
      </c>
      <c r="G465" s="94"/>
      <c r="H465" s="91"/>
      <c r="I465" s="78"/>
      <c r="J465" s="79"/>
      <c r="K465" s="35" t="b">
        <v>1</v>
      </c>
      <c r="L465" s="33" t="s">
        <v>232</v>
      </c>
      <c r="M465" s="179">
        <v>42020</v>
      </c>
    </row>
    <row r="466" spans="1:13" ht="25.5" hidden="1" customHeight="1" outlineLevel="2" x14ac:dyDescent="0.2">
      <c r="A466" s="14">
        <v>32108</v>
      </c>
      <c r="B466" s="52" t="s">
        <v>378</v>
      </c>
      <c r="C466" s="91" t="s">
        <v>3</v>
      </c>
      <c r="D466" s="122">
        <v>4.2939814814814811E-3</v>
      </c>
      <c r="E466" s="122" t="s">
        <v>422</v>
      </c>
      <c r="F466" s="122" t="b">
        <v>0</v>
      </c>
      <c r="G466" s="94"/>
      <c r="H466" s="91"/>
      <c r="I466" s="78"/>
      <c r="J466" s="79"/>
      <c r="K466" s="35" t="b">
        <v>1</v>
      </c>
      <c r="L466" s="33" t="s">
        <v>232</v>
      </c>
      <c r="M466" s="179">
        <v>42020</v>
      </c>
    </row>
    <row r="467" spans="1:13" hidden="1" outlineLevel="1" x14ac:dyDescent="0.25">
      <c r="A467" s="12"/>
      <c r="B467" s="12" t="s">
        <v>379</v>
      </c>
      <c r="C467" s="12"/>
      <c r="D467" s="121" t="e">
        <f>SumTestCase(Table_6[Run Time],Testcase_Color,Workflow_Color)</f>
        <v>#VALUE!</v>
      </c>
      <c r="E467" s="121"/>
      <c r="F467" s="121"/>
      <c r="G467" s="12"/>
      <c r="H467" s="12"/>
      <c r="I467" s="12"/>
      <c r="J467" s="12"/>
      <c r="K467" s="12"/>
      <c r="L467" s="12"/>
      <c r="M467" s="12"/>
    </row>
    <row r="468" spans="1:13" ht="90" hidden="1" customHeight="1" outlineLevel="2" x14ac:dyDescent="0.2">
      <c r="A468" s="14">
        <v>33253</v>
      </c>
      <c r="B468" s="53" t="s">
        <v>380</v>
      </c>
      <c r="C468" s="91" t="s">
        <v>3</v>
      </c>
      <c r="D468" s="122">
        <v>3.8599537037037036E-2</v>
      </c>
      <c r="E468" s="122" t="s">
        <v>422</v>
      </c>
      <c r="F468" s="122" t="b">
        <v>0</v>
      </c>
      <c r="G468" s="94"/>
      <c r="H468" s="101" t="s">
        <v>428</v>
      </c>
      <c r="I468" s="78"/>
      <c r="J468" s="79"/>
      <c r="K468" s="35" t="b">
        <v>1</v>
      </c>
      <c r="L468" s="33" t="s">
        <v>232</v>
      </c>
      <c r="M468" s="179">
        <v>42020</v>
      </c>
    </row>
    <row r="469" spans="1:13" ht="25.5" hidden="1" customHeight="1" outlineLevel="2" x14ac:dyDescent="0.2">
      <c r="A469" s="14">
        <v>33254</v>
      </c>
      <c r="B469" s="53" t="s">
        <v>381</v>
      </c>
      <c r="C469" s="91" t="s">
        <v>3</v>
      </c>
      <c r="D469" s="122">
        <v>3.3530092592592591E-2</v>
      </c>
      <c r="E469" s="122" t="s">
        <v>422</v>
      </c>
      <c r="F469" s="122" t="b">
        <v>0</v>
      </c>
      <c r="G469" s="94"/>
      <c r="H469" s="91"/>
      <c r="I469" s="78"/>
      <c r="J469" s="79"/>
      <c r="K469" s="35" t="b">
        <v>1</v>
      </c>
      <c r="L469" s="33" t="s">
        <v>232</v>
      </c>
      <c r="M469" s="179">
        <v>42020</v>
      </c>
    </row>
    <row r="470" spans="1:13" ht="25.5" hidden="1" customHeight="1" outlineLevel="2" x14ac:dyDescent="0.2">
      <c r="A470" s="14">
        <v>33255</v>
      </c>
      <c r="B470" s="53" t="s">
        <v>382</v>
      </c>
      <c r="C470" s="91" t="s">
        <v>3</v>
      </c>
      <c r="D470" s="122">
        <v>2.8587962962962964E-2</v>
      </c>
      <c r="E470" s="122" t="s">
        <v>422</v>
      </c>
      <c r="F470" s="122" t="b">
        <v>0</v>
      </c>
      <c r="G470" s="94"/>
      <c r="H470" s="91"/>
      <c r="I470" s="78"/>
      <c r="J470" s="79"/>
      <c r="K470" s="35" t="b">
        <v>1</v>
      </c>
      <c r="L470" s="33" t="s">
        <v>232</v>
      </c>
      <c r="M470" s="179">
        <v>42020</v>
      </c>
    </row>
    <row r="471" spans="1:13" ht="25.5" hidden="1" customHeight="1" outlineLevel="2" x14ac:dyDescent="0.2">
      <c r="A471" s="14">
        <v>33256</v>
      </c>
      <c r="B471" s="53" t="s">
        <v>383</v>
      </c>
      <c r="C471" s="91" t="s">
        <v>3</v>
      </c>
      <c r="D471" s="122">
        <v>2.9861111111111113E-2</v>
      </c>
      <c r="E471" s="122" t="s">
        <v>422</v>
      </c>
      <c r="F471" s="122" t="b">
        <v>0</v>
      </c>
      <c r="G471" s="94"/>
      <c r="H471" s="91"/>
      <c r="I471" s="78"/>
      <c r="J471" s="79"/>
      <c r="K471" s="35" t="b">
        <v>1</v>
      </c>
      <c r="L471" s="33" t="s">
        <v>232</v>
      </c>
      <c r="M471" s="179">
        <v>42020</v>
      </c>
    </row>
    <row r="472" spans="1:13" ht="25.5" hidden="1" customHeight="1" outlineLevel="2" x14ac:dyDescent="0.2">
      <c r="A472" s="14">
        <v>33257</v>
      </c>
      <c r="B472" s="53" t="s">
        <v>384</v>
      </c>
      <c r="C472" s="91" t="s">
        <v>3</v>
      </c>
      <c r="D472" s="122">
        <v>3.5185185185185187E-2</v>
      </c>
      <c r="E472" s="122" t="s">
        <v>422</v>
      </c>
      <c r="F472" s="122" t="b">
        <v>0</v>
      </c>
      <c r="G472" s="94"/>
      <c r="H472" s="91"/>
      <c r="I472" s="78"/>
      <c r="J472" s="79"/>
      <c r="K472" s="35" t="b">
        <v>1</v>
      </c>
      <c r="L472" s="33" t="s">
        <v>232</v>
      </c>
      <c r="M472" s="179">
        <v>42020</v>
      </c>
    </row>
    <row r="473" spans="1:13" ht="25.5" hidden="1" customHeight="1" outlineLevel="2" x14ac:dyDescent="0.2">
      <c r="A473" s="14">
        <v>33258</v>
      </c>
      <c r="B473" s="53" t="s">
        <v>385</v>
      </c>
      <c r="C473" s="91" t="s">
        <v>3</v>
      </c>
      <c r="D473" s="122">
        <v>2.9374999999999998E-2</v>
      </c>
      <c r="E473" s="122" t="s">
        <v>422</v>
      </c>
      <c r="F473" s="122" t="b">
        <v>0</v>
      </c>
      <c r="G473" s="94"/>
      <c r="H473" s="91"/>
      <c r="I473" s="78"/>
      <c r="J473" s="79"/>
      <c r="K473" s="35" t="b">
        <v>1</v>
      </c>
      <c r="L473" s="33" t="s">
        <v>232</v>
      </c>
      <c r="M473" s="179">
        <v>42020</v>
      </c>
    </row>
    <row r="474" spans="1:13" hidden="1" outlineLevel="1" x14ac:dyDescent="0.25">
      <c r="A474" s="207"/>
      <c r="B474" s="12" t="s">
        <v>600</v>
      </c>
      <c r="C474" s="12"/>
      <c r="D474" s="121" t="e">
        <f>SumTestCase('Test Cases'!$D$474:$D$485,Testcase_Color,Workflow_Color)</f>
        <v>#VALUE!</v>
      </c>
      <c r="E474" s="121"/>
      <c r="F474" s="121"/>
      <c r="G474" s="12"/>
      <c r="H474" s="12"/>
      <c r="I474" s="12"/>
      <c r="J474" s="12"/>
      <c r="K474" s="12"/>
      <c r="L474" s="12"/>
      <c r="M474" s="185"/>
    </row>
    <row r="475" spans="1:13" hidden="1" outlineLevel="2" x14ac:dyDescent="0.2">
      <c r="A475" s="208">
        <v>25590</v>
      </c>
      <c r="B475" s="52" t="s">
        <v>386</v>
      </c>
      <c r="C475" s="30" t="s">
        <v>3</v>
      </c>
      <c r="D475" s="122">
        <v>1.1111111111111112E-2</v>
      </c>
      <c r="E475" s="122" t="s">
        <v>423</v>
      </c>
      <c r="F475" s="122" t="b">
        <v>1</v>
      </c>
      <c r="G475" s="194"/>
      <c r="H475" s="175"/>
      <c r="I475" s="42"/>
      <c r="J475" s="34"/>
      <c r="K475" s="35" t="b">
        <v>1</v>
      </c>
      <c r="L475" s="35" t="s">
        <v>232</v>
      </c>
      <c r="M475" s="192">
        <v>42020</v>
      </c>
    </row>
    <row r="476" spans="1:13" ht="25.5" hidden="1" outlineLevel="2" x14ac:dyDescent="0.2">
      <c r="A476" s="208">
        <v>25591</v>
      </c>
      <c r="B476" s="52" t="s">
        <v>350</v>
      </c>
      <c r="C476" s="30" t="s">
        <v>3</v>
      </c>
      <c r="D476" s="122">
        <v>6.9444444444444441E-3</v>
      </c>
      <c r="E476" s="122" t="s">
        <v>423</v>
      </c>
      <c r="F476" s="122" t="b">
        <v>1</v>
      </c>
      <c r="G476" s="194"/>
      <c r="H476" s="175"/>
      <c r="I476" s="42"/>
      <c r="J476" s="34"/>
      <c r="K476" s="35" t="b">
        <v>1</v>
      </c>
      <c r="L476" s="35" t="s">
        <v>232</v>
      </c>
      <c r="M476" s="192">
        <v>42020</v>
      </c>
    </row>
    <row r="477" spans="1:13" hidden="1" outlineLevel="2" x14ac:dyDescent="0.2">
      <c r="A477" s="208">
        <v>25592</v>
      </c>
      <c r="B477" s="52" t="s">
        <v>351</v>
      </c>
      <c r="C477" s="30" t="s">
        <v>3</v>
      </c>
      <c r="D477" s="122">
        <v>7.2916666666666659E-3</v>
      </c>
      <c r="E477" s="122" t="s">
        <v>423</v>
      </c>
      <c r="F477" s="122" t="b">
        <v>1</v>
      </c>
      <c r="G477" s="194"/>
      <c r="H477" s="30"/>
      <c r="I477" s="42"/>
      <c r="J477" s="34"/>
      <c r="K477" s="35" t="b">
        <v>1</v>
      </c>
      <c r="L477" s="35" t="s">
        <v>232</v>
      </c>
      <c r="M477" s="192">
        <v>42020</v>
      </c>
    </row>
    <row r="478" spans="1:13" ht="25.5" hidden="1" outlineLevel="2" x14ac:dyDescent="0.2">
      <c r="A478" s="208">
        <v>25600</v>
      </c>
      <c r="B478" s="52" t="s">
        <v>352</v>
      </c>
      <c r="C478" s="30" t="s">
        <v>3</v>
      </c>
      <c r="D478" s="122">
        <v>6.6203703703703702E-3</v>
      </c>
      <c r="E478" s="122" t="s">
        <v>423</v>
      </c>
      <c r="F478" s="122" t="b">
        <v>1</v>
      </c>
      <c r="G478" s="194"/>
      <c r="H478" s="175"/>
      <c r="I478" s="42"/>
      <c r="J478" s="34"/>
      <c r="K478" s="35" t="b">
        <v>1</v>
      </c>
      <c r="L478" s="35" t="s">
        <v>232</v>
      </c>
      <c r="M478" s="192">
        <v>42020</v>
      </c>
    </row>
    <row r="479" spans="1:13" hidden="1" outlineLevel="2" x14ac:dyDescent="0.2">
      <c r="A479" s="208">
        <v>25642</v>
      </c>
      <c r="B479" s="52" t="s">
        <v>353</v>
      </c>
      <c r="C479" s="30" t="s">
        <v>3</v>
      </c>
      <c r="D479" s="122">
        <v>1.3888888888888888E-2</v>
      </c>
      <c r="E479" s="122" t="s">
        <v>423</v>
      </c>
      <c r="F479" s="122" t="b">
        <v>1</v>
      </c>
      <c r="G479" s="194"/>
      <c r="H479" s="175"/>
      <c r="I479" s="42"/>
      <c r="J479" s="34"/>
      <c r="K479" s="35" t="b">
        <v>1</v>
      </c>
      <c r="L479" s="35" t="s">
        <v>232</v>
      </c>
      <c r="M479" s="192">
        <v>42020</v>
      </c>
    </row>
    <row r="480" spans="1:13" ht="25.5" hidden="1" outlineLevel="2" x14ac:dyDescent="0.2">
      <c r="A480" s="208">
        <v>25564</v>
      </c>
      <c r="B480" s="52" t="s">
        <v>363</v>
      </c>
      <c r="C480" s="30" t="s">
        <v>3</v>
      </c>
      <c r="D480" s="122">
        <v>8.3333333333333332E-3</v>
      </c>
      <c r="E480" s="122" t="s">
        <v>423</v>
      </c>
      <c r="F480" s="122" t="b">
        <v>0</v>
      </c>
      <c r="G480" s="194"/>
      <c r="H480" s="175"/>
      <c r="I480" s="42"/>
      <c r="J480" s="34"/>
      <c r="K480" s="35" t="b">
        <v>1</v>
      </c>
      <c r="L480" s="35" t="s">
        <v>232</v>
      </c>
      <c r="M480" s="192">
        <v>42020</v>
      </c>
    </row>
    <row r="481" spans="1:14" hidden="1" outlineLevel="2" x14ac:dyDescent="0.2">
      <c r="A481" s="208">
        <v>25532</v>
      </c>
      <c r="B481" s="52" t="s">
        <v>367</v>
      </c>
      <c r="C481" s="30" t="s">
        <v>3</v>
      </c>
      <c r="D481" s="122">
        <v>2.0833333333333333E-3</v>
      </c>
      <c r="E481" s="122" t="s">
        <v>423</v>
      </c>
      <c r="F481" s="122" t="b">
        <v>0</v>
      </c>
      <c r="G481" s="194"/>
      <c r="H481" s="175"/>
      <c r="I481" s="42"/>
      <c r="J481" s="34"/>
      <c r="K481" s="35" t="b">
        <v>1</v>
      </c>
      <c r="L481" s="35" t="s">
        <v>232</v>
      </c>
      <c r="M481" s="192">
        <v>42020</v>
      </c>
    </row>
    <row r="482" spans="1:14" ht="38.25" hidden="1" outlineLevel="2" x14ac:dyDescent="0.2">
      <c r="A482" s="208">
        <v>25563</v>
      </c>
      <c r="B482" s="52" t="s">
        <v>366</v>
      </c>
      <c r="C482" s="30" t="s">
        <v>3</v>
      </c>
      <c r="D482" s="122">
        <v>4.1666666666666666E-3</v>
      </c>
      <c r="E482" s="122" t="s">
        <v>423</v>
      </c>
      <c r="F482" s="122" t="b">
        <v>0</v>
      </c>
      <c r="G482" s="194"/>
      <c r="H482" s="175"/>
      <c r="I482" s="42"/>
      <c r="J482" s="34"/>
      <c r="K482" s="35" t="b">
        <v>1</v>
      </c>
      <c r="L482" s="35" t="s">
        <v>232</v>
      </c>
      <c r="M482" s="192">
        <v>42020</v>
      </c>
    </row>
    <row r="483" spans="1:14" hidden="1" outlineLevel="2" x14ac:dyDescent="0.2">
      <c r="A483" s="208">
        <v>25560</v>
      </c>
      <c r="B483" s="52" t="s">
        <v>361</v>
      </c>
      <c r="C483" s="30" t="s">
        <v>3</v>
      </c>
      <c r="D483" s="122">
        <v>1.0416666666666666E-2</v>
      </c>
      <c r="E483" s="122" t="s">
        <v>423</v>
      </c>
      <c r="F483" s="122" t="b">
        <v>0</v>
      </c>
      <c r="G483" s="194"/>
      <c r="H483" s="175"/>
      <c r="I483" s="42"/>
      <c r="J483" s="34"/>
      <c r="K483" s="35" t="b">
        <v>1</v>
      </c>
      <c r="L483" s="35" t="s">
        <v>232</v>
      </c>
      <c r="M483" s="192">
        <v>42020</v>
      </c>
    </row>
    <row r="484" spans="1:14" hidden="1" outlineLevel="2" x14ac:dyDescent="0.2">
      <c r="A484" s="208">
        <v>25553</v>
      </c>
      <c r="B484" s="52" t="s">
        <v>370</v>
      </c>
      <c r="C484" s="30" t="s">
        <v>3</v>
      </c>
      <c r="D484" s="122">
        <v>4.1666666666666666E-3</v>
      </c>
      <c r="E484" s="122" t="s">
        <v>423</v>
      </c>
      <c r="F484" s="122" t="b">
        <v>0</v>
      </c>
      <c r="G484" s="175" t="s">
        <v>387</v>
      </c>
      <c r="H484" s="175"/>
      <c r="I484" s="42"/>
      <c r="J484" s="34"/>
      <c r="K484" s="35" t="b">
        <v>1</v>
      </c>
      <c r="L484" s="35" t="s">
        <v>232</v>
      </c>
      <c r="M484" s="192">
        <v>42020</v>
      </c>
    </row>
    <row r="485" spans="1:14" hidden="1" outlineLevel="2" x14ac:dyDescent="0.2">
      <c r="A485" s="215">
        <v>25528</v>
      </c>
      <c r="B485" s="228" t="s">
        <v>372</v>
      </c>
      <c r="C485" s="226" t="s">
        <v>3</v>
      </c>
      <c r="D485" s="201">
        <v>3.472222222222222E-3</v>
      </c>
      <c r="E485" s="201" t="s">
        <v>423</v>
      </c>
      <c r="F485" s="201" t="b">
        <v>1</v>
      </c>
      <c r="G485" s="229"/>
      <c r="H485" s="217"/>
      <c r="I485" s="230"/>
      <c r="J485" s="219"/>
      <c r="K485" s="205" t="b">
        <v>1</v>
      </c>
      <c r="L485" s="205" t="s">
        <v>232</v>
      </c>
      <c r="M485" s="231">
        <v>42020</v>
      </c>
    </row>
    <row r="487" spans="1:14" ht="35.25" customHeight="1" x14ac:dyDescent="0.25">
      <c r="B487" s="77" t="s">
        <v>614</v>
      </c>
      <c r="C487" s="271"/>
      <c r="D487" s="271"/>
      <c r="E487" s="271"/>
      <c r="F487" s="272"/>
      <c r="G487" s="272"/>
      <c r="H487" s="272"/>
      <c r="I487" s="272"/>
      <c r="J487" s="272"/>
      <c r="K487" s="272"/>
      <c r="L487" s="272"/>
      <c r="M487" s="272"/>
    </row>
    <row r="488" spans="1:14" s="25" customFormat="1" ht="30" collapsed="1" x14ac:dyDescent="0.25">
      <c r="A488" s="21" t="s">
        <v>0</v>
      </c>
      <c r="B488" s="21" t="s">
        <v>1</v>
      </c>
      <c r="C488" s="21" t="s">
        <v>2</v>
      </c>
      <c r="D488" s="21" t="s">
        <v>420</v>
      </c>
      <c r="E488" s="21" t="s">
        <v>556</v>
      </c>
      <c r="F488" s="21" t="s">
        <v>507</v>
      </c>
      <c r="G488" s="21" t="s">
        <v>4</v>
      </c>
      <c r="H488" s="21" t="s">
        <v>31</v>
      </c>
      <c r="I488" s="22" t="s">
        <v>511</v>
      </c>
      <c r="J488" s="23" t="s">
        <v>510</v>
      </c>
      <c r="K488" s="24" t="s">
        <v>508</v>
      </c>
      <c r="L488" s="22" t="s">
        <v>509</v>
      </c>
      <c r="M488" s="22" t="s">
        <v>554</v>
      </c>
      <c r="N488" s="54"/>
    </row>
    <row r="489" spans="1:14" ht="15" hidden="1" customHeight="1" outlineLevel="1" x14ac:dyDescent="0.25">
      <c r="A489" s="12"/>
      <c r="B489" s="12" t="s">
        <v>388</v>
      </c>
      <c r="C489" s="12"/>
      <c r="D489" s="121" t="e">
        <f>SumTestCase(Table_7[Run Time],Testcase_Color,Workflow_Color)</f>
        <v>#VALUE!</v>
      </c>
      <c r="E489" s="121"/>
      <c r="F489" s="121"/>
      <c r="G489" s="111"/>
      <c r="H489" s="12"/>
      <c r="I489" s="12"/>
      <c r="J489" s="12"/>
      <c r="K489" s="12"/>
      <c r="L489" s="12"/>
      <c r="M489" s="12"/>
    </row>
    <row r="490" spans="1:14" ht="76.5" hidden="1" customHeight="1" outlineLevel="2" x14ac:dyDescent="0.2">
      <c r="A490" s="14">
        <v>25491</v>
      </c>
      <c r="B490" s="53" t="s">
        <v>389</v>
      </c>
      <c r="C490" s="91" t="s">
        <v>3</v>
      </c>
      <c r="D490" s="122">
        <v>1.744212962962963E-2</v>
      </c>
      <c r="E490" s="122" t="s">
        <v>422</v>
      </c>
      <c r="F490" s="122" t="b">
        <v>1</v>
      </c>
      <c r="G490" s="30"/>
      <c r="H490" s="157" t="s">
        <v>498</v>
      </c>
      <c r="I490" s="78"/>
      <c r="J490" s="79"/>
      <c r="K490" s="80" t="b">
        <v>1</v>
      </c>
      <c r="L490" s="80" t="s">
        <v>424</v>
      </c>
      <c r="M490" s="179">
        <v>42020</v>
      </c>
    </row>
    <row r="491" spans="1:14" ht="38.25" hidden="1" customHeight="1" outlineLevel="2" x14ac:dyDescent="0.2">
      <c r="A491" s="14">
        <v>25512</v>
      </c>
      <c r="B491" s="53" t="s">
        <v>390</v>
      </c>
      <c r="C491" s="91" t="s">
        <v>3</v>
      </c>
      <c r="D491" s="122">
        <v>1.1805555555555555E-2</v>
      </c>
      <c r="E491" s="122" t="s">
        <v>422</v>
      </c>
      <c r="F491" s="122" t="b">
        <v>1</v>
      </c>
      <c r="G491" s="91" t="s">
        <v>391</v>
      </c>
      <c r="H491" s="157" t="s">
        <v>499</v>
      </c>
      <c r="I491" s="78"/>
      <c r="J491" s="79"/>
      <c r="K491" s="80" t="b">
        <v>1</v>
      </c>
      <c r="L491" s="80" t="s">
        <v>424</v>
      </c>
      <c r="M491" s="179">
        <v>42020</v>
      </c>
    </row>
    <row r="492" spans="1:14" ht="15" hidden="1" customHeight="1" outlineLevel="2" x14ac:dyDescent="0.2">
      <c r="A492" s="14">
        <v>33019</v>
      </c>
      <c r="B492" s="53" t="s">
        <v>392</v>
      </c>
      <c r="C492" s="91" t="s">
        <v>3</v>
      </c>
      <c r="D492" s="122">
        <v>2.0833333333333332E-2</v>
      </c>
      <c r="E492" s="122" t="s">
        <v>422</v>
      </c>
      <c r="F492" s="122" t="b">
        <v>1</v>
      </c>
      <c r="G492" s="30"/>
      <c r="H492" s="91"/>
      <c r="I492" s="78"/>
      <c r="J492" s="79"/>
      <c r="K492" s="80" t="b">
        <v>1</v>
      </c>
      <c r="L492" s="80" t="s">
        <v>424</v>
      </c>
      <c r="M492" s="179">
        <v>42020</v>
      </c>
    </row>
    <row r="493" spans="1:14" ht="60" hidden="1" customHeight="1" outlineLevel="2" x14ac:dyDescent="0.2">
      <c r="A493" s="14">
        <v>25514</v>
      </c>
      <c r="B493" s="109" t="s">
        <v>393</v>
      </c>
      <c r="C493" s="91" t="s">
        <v>3</v>
      </c>
      <c r="D493" s="122">
        <v>8.4027777777777781E-3</v>
      </c>
      <c r="E493" s="122" t="s">
        <v>422</v>
      </c>
      <c r="F493" s="122" t="b">
        <v>0</v>
      </c>
      <c r="G493" s="53"/>
      <c r="H493" s="138" t="s">
        <v>394</v>
      </c>
      <c r="I493" s="78"/>
      <c r="J493" s="79"/>
      <c r="K493" s="80" t="b">
        <v>1</v>
      </c>
      <c r="L493" s="80" t="s">
        <v>424</v>
      </c>
      <c r="M493" s="179">
        <v>42020</v>
      </c>
    </row>
    <row r="494" spans="1:14" ht="15" hidden="1" customHeight="1" outlineLevel="2" x14ac:dyDescent="0.25">
      <c r="A494" s="14">
        <v>25515</v>
      </c>
      <c r="B494" s="109" t="s">
        <v>395</v>
      </c>
      <c r="C494" s="91" t="s">
        <v>3</v>
      </c>
      <c r="D494" s="122">
        <v>1.9618055555555555E-2</v>
      </c>
      <c r="E494" s="122" t="s">
        <v>422</v>
      </c>
      <c r="F494" s="122" t="b">
        <v>0</v>
      </c>
      <c r="G494" s="53"/>
      <c r="H494" s="84"/>
      <c r="I494" s="78"/>
      <c r="J494" s="79"/>
      <c r="K494" s="80" t="b">
        <v>1</v>
      </c>
      <c r="L494" s="80" t="s">
        <v>424</v>
      </c>
      <c r="M494" s="179">
        <v>42020</v>
      </c>
    </row>
    <row r="495" spans="1:14" ht="60" hidden="1" customHeight="1" outlineLevel="2" x14ac:dyDescent="0.25">
      <c r="A495" s="14">
        <v>25513</v>
      </c>
      <c r="B495" s="109" t="s">
        <v>396</v>
      </c>
      <c r="C495" s="91" t="s">
        <v>3</v>
      </c>
      <c r="D495" s="122">
        <v>8.9467592592592585E-3</v>
      </c>
      <c r="E495" s="122" t="s">
        <v>422</v>
      </c>
      <c r="F495" s="122" t="b">
        <v>0</v>
      </c>
      <c r="G495" s="53"/>
      <c r="H495" s="81" t="s">
        <v>397</v>
      </c>
      <c r="I495" s="78"/>
      <c r="J495" s="79"/>
      <c r="K495" s="80" t="b">
        <v>1</v>
      </c>
      <c r="L495" s="80" t="s">
        <v>424</v>
      </c>
      <c r="M495" s="179">
        <v>42020</v>
      </c>
    </row>
    <row r="496" spans="1:14" ht="38.25" hidden="1" customHeight="1" outlineLevel="2" x14ac:dyDescent="0.2">
      <c r="A496" s="14">
        <v>25516</v>
      </c>
      <c r="B496" s="109" t="s">
        <v>175</v>
      </c>
      <c r="C496" s="91" t="s">
        <v>3</v>
      </c>
      <c r="D496" s="122">
        <v>8.5879629629629622E-3</v>
      </c>
      <c r="E496" s="122" t="s">
        <v>422</v>
      </c>
      <c r="F496" s="122" t="b">
        <v>0</v>
      </c>
      <c r="G496" s="53"/>
      <c r="H496" s="53" t="s">
        <v>398</v>
      </c>
      <c r="I496" s="78"/>
      <c r="J496" s="79"/>
      <c r="K496" s="80" t="b">
        <v>1</v>
      </c>
      <c r="L496" s="80" t="s">
        <v>424</v>
      </c>
      <c r="M496" s="179">
        <v>42020</v>
      </c>
    </row>
    <row r="497" spans="1:13" ht="15" hidden="1" customHeight="1" outlineLevel="1" x14ac:dyDescent="0.25">
      <c r="A497" s="12"/>
      <c r="B497" s="12" t="s">
        <v>399</v>
      </c>
      <c r="C497" s="12"/>
      <c r="D497" s="121" t="e">
        <f>SumTestCase(Table_7[Run Time],Testcase_Color,Workflow_Color)</f>
        <v>#VALUE!</v>
      </c>
      <c r="E497" s="121"/>
      <c r="F497" s="121"/>
      <c r="G497" s="111"/>
      <c r="H497" s="12"/>
      <c r="I497" s="12"/>
      <c r="J497" s="12"/>
      <c r="K497" s="12"/>
      <c r="L497" s="12"/>
      <c r="M497" s="12"/>
    </row>
    <row r="498" spans="1:13" ht="76.5" hidden="1" customHeight="1" outlineLevel="2" x14ac:dyDescent="0.2">
      <c r="A498" s="14">
        <v>25491</v>
      </c>
      <c r="B498" s="53" t="s">
        <v>400</v>
      </c>
      <c r="C498" s="30" t="s">
        <v>3</v>
      </c>
      <c r="D498" s="122">
        <v>1.8831018518518518E-2</v>
      </c>
      <c r="E498" s="122" t="s">
        <v>297</v>
      </c>
      <c r="F498" s="122" t="b">
        <v>1</v>
      </c>
      <c r="G498" s="30"/>
      <c r="H498" s="157" t="s">
        <v>498</v>
      </c>
      <c r="I498" s="78"/>
      <c r="J498" s="79"/>
      <c r="K498" s="80" t="b">
        <v>1</v>
      </c>
      <c r="L498" s="80" t="s">
        <v>424</v>
      </c>
      <c r="M498" s="179">
        <v>42020</v>
      </c>
    </row>
    <row r="499" spans="1:13" ht="89.25" hidden="1" customHeight="1" outlineLevel="2" x14ac:dyDescent="0.2">
      <c r="A499" s="14">
        <v>25512</v>
      </c>
      <c r="B499" s="53" t="s">
        <v>401</v>
      </c>
      <c r="C499" s="30" t="s">
        <v>3</v>
      </c>
      <c r="D499" s="122">
        <v>1.1805555555555555E-2</v>
      </c>
      <c r="E499" s="122" t="s">
        <v>297</v>
      </c>
      <c r="F499" s="122" t="b">
        <v>1</v>
      </c>
      <c r="G499" s="91" t="s">
        <v>391</v>
      </c>
      <c r="H499" s="139" t="s">
        <v>500</v>
      </c>
      <c r="I499" s="78"/>
      <c r="J499" s="79"/>
      <c r="K499" s="80" t="b">
        <v>1</v>
      </c>
      <c r="L499" s="80" t="s">
        <v>424</v>
      </c>
      <c r="M499" s="179">
        <v>42020</v>
      </c>
    </row>
    <row r="500" spans="1:13" ht="15" hidden="1" customHeight="1" outlineLevel="2" x14ac:dyDescent="0.2">
      <c r="A500" s="14">
        <v>33019</v>
      </c>
      <c r="B500" s="53" t="s">
        <v>402</v>
      </c>
      <c r="C500" s="91" t="s">
        <v>3</v>
      </c>
      <c r="D500" s="122">
        <v>1.8749999999999999E-2</v>
      </c>
      <c r="E500" s="122" t="s">
        <v>297</v>
      </c>
      <c r="F500" s="122" t="b">
        <v>1</v>
      </c>
      <c r="G500" s="30"/>
      <c r="H500" s="91"/>
      <c r="I500" s="78"/>
      <c r="J500" s="79"/>
      <c r="K500" s="80" t="b">
        <v>1</v>
      </c>
      <c r="L500" s="80" t="s">
        <v>424</v>
      </c>
      <c r="M500" s="179">
        <v>42020</v>
      </c>
    </row>
    <row r="501" spans="1:13" ht="60" hidden="1" customHeight="1" outlineLevel="2" x14ac:dyDescent="0.2">
      <c r="A501" s="14">
        <v>25514</v>
      </c>
      <c r="B501" s="109" t="s">
        <v>403</v>
      </c>
      <c r="C501" s="30" t="s">
        <v>3</v>
      </c>
      <c r="D501" s="122">
        <v>6.7013888888888887E-3</v>
      </c>
      <c r="E501" s="122" t="s">
        <v>297</v>
      </c>
      <c r="F501" s="122" t="b">
        <v>0</v>
      </c>
      <c r="G501" s="53"/>
      <c r="H501" s="138" t="s">
        <v>394</v>
      </c>
      <c r="I501" s="78"/>
      <c r="J501" s="79"/>
      <c r="K501" s="80" t="b">
        <v>1</v>
      </c>
      <c r="L501" s="80" t="s">
        <v>424</v>
      </c>
      <c r="M501" s="179">
        <v>42020</v>
      </c>
    </row>
    <row r="502" spans="1:13" ht="15" hidden="1" customHeight="1" outlineLevel="2" x14ac:dyDescent="0.25">
      <c r="A502" s="14">
        <v>25515</v>
      </c>
      <c r="B502" s="109" t="s">
        <v>404</v>
      </c>
      <c r="C502" s="30" t="s">
        <v>3</v>
      </c>
      <c r="D502" s="122">
        <v>1.4664351851851852E-2</v>
      </c>
      <c r="E502" s="122" t="s">
        <v>297</v>
      </c>
      <c r="F502" s="122" t="b">
        <v>0</v>
      </c>
      <c r="G502" s="53"/>
      <c r="H502" s="84"/>
      <c r="I502" s="78"/>
      <c r="J502" s="79"/>
      <c r="K502" s="80" t="b">
        <v>1</v>
      </c>
      <c r="L502" s="80" t="s">
        <v>424</v>
      </c>
      <c r="M502" s="179">
        <v>42020</v>
      </c>
    </row>
    <row r="503" spans="1:13" ht="60" hidden="1" customHeight="1" outlineLevel="2" x14ac:dyDescent="0.25">
      <c r="A503" s="14">
        <v>25513</v>
      </c>
      <c r="B503" s="109" t="s">
        <v>405</v>
      </c>
      <c r="C503" s="30" t="s">
        <v>3</v>
      </c>
      <c r="D503" s="122">
        <v>5.6597222222222222E-3</v>
      </c>
      <c r="E503" s="122" t="s">
        <v>297</v>
      </c>
      <c r="F503" s="122" t="b">
        <v>0</v>
      </c>
      <c r="G503" s="53"/>
      <c r="H503" s="81" t="s">
        <v>397</v>
      </c>
      <c r="I503" s="78"/>
      <c r="J503" s="79"/>
      <c r="K503" s="80" t="b">
        <v>0</v>
      </c>
      <c r="L503" s="80" t="s">
        <v>424</v>
      </c>
      <c r="M503" s="179">
        <v>42020</v>
      </c>
    </row>
    <row r="504" spans="1:13" ht="38.25" hidden="1" customHeight="1" outlineLevel="2" x14ac:dyDescent="0.2">
      <c r="A504" s="14">
        <v>25516</v>
      </c>
      <c r="B504" s="109" t="s">
        <v>406</v>
      </c>
      <c r="C504" s="30" t="s">
        <v>3</v>
      </c>
      <c r="D504" s="122">
        <v>7.037037037037037E-3</v>
      </c>
      <c r="E504" s="122" t="s">
        <v>297</v>
      </c>
      <c r="F504" s="122" t="b">
        <v>0</v>
      </c>
      <c r="G504" s="53"/>
      <c r="H504" s="53" t="s">
        <v>398</v>
      </c>
      <c r="I504" s="78"/>
      <c r="J504" s="79"/>
      <c r="K504" s="80" t="b">
        <v>1</v>
      </c>
      <c r="L504" s="80" t="s">
        <v>424</v>
      </c>
      <c r="M504" s="179">
        <v>42020</v>
      </c>
    </row>
    <row r="505" spans="1:13" hidden="1" outlineLevel="2" x14ac:dyDescent="0.25">
      <c r="A505" s="207"/>
      <c r="B505" s="12" t="s">
        <v>601</v>
      </c>
      <c r="C505" s="12"/>
      <c r="D505" s="121" t="e">
        <f>SumTestCase('Test Cases'!$D$505:$D$520,Testcase_Color,Workflow_Color)</f>
        <v>#VALUE!</v>
      </c>
      <c r="E505" s="121"/>
      <c r="F505" s="121"/>
      <c r="G505" s="13"/>
      <c r="H505" s="12"/>
      <c r="I505" s="12"/>
      <c r="J505" s="12"/>
      <c r="K505" s="12"/>
      <c r="L505" s="12"/>
      <c r="M505" s="185"/>
    </row>
    <row r="506" spans="1:13" hidden="1" outlineLevel="2" x14ac:dyDescent="0.2">
      <c r="A506" s="208">
        <v>25491</v>
      </c>
      <c r="B506" s="53" t="s">
        <v>407</v>
      </c>
      <c r="C506" s="30" t="s">
        <v>3</v>
      </c>
      <c r="D506" s="122">
        <v>1.8749999999999999E-2</v>
      </c>
      <c r="E506" s="122" t="s">
        <v>423</v>
      </c>
      <c r="F506" s="122" t="b">
        <v>1</v>
      </c>
      <c r="G506" s="30" t="s">
        <v>408</v>
      </c>
      <c r="H506" s="175"/>
      <c r="I506" s="34"/>
      <c r="J506" s="34"/>
      <c r="K506" s="35" t="b">
        <v>1</v>
      </c>
      <c r="L506" s="35" t="s">
        <v>424</v>
      </c>
      <c r="M506" s="213">
        <v>42020</v>
      </c>
    </row>
    <row r="507" spans="1:13" ht="51" hidden="1" outlineLevel="2" x14ac:dyDescent="0.2">
      <c r="A507" s="208">
        <v>25512</v>
      </c>
      <c r="B507" s="53" t="s">
        <v>409</v>
      </c>
      <c r="C507" s="30" t="s">
        <v>3</v>
      </c>
      <c r="D507" s="122">
        <v>2.4305555555555556E-2</v>
      </c>
      <c r="E507" s="122" t="s">
        <v>423</v>
      </c>
      <c r="F507" s="122" t="b">
        <v>1</v>
      </c>
      <c r="G507" s="110" t="s">
        <v>410</v>
      </c>
      <c r="H507" s="139" t="s">
        <v>493</v>
      </c>
      <c r="I507" s="34"/>
      <c r="J507" s="34"/>
      <c r="K507" s="35" t="b">
        <v>1</v>
      </c>
      <c r="L507" s="35" t="s">
        <v>424</v>
      </c>
      <c r="M507" s="213">
        <v>42020</v>
      </c>
    </row>
    <row r="508" spans="1:13" hidden="1" outlineLevel="2" x14ac:dyDescent="0.25">
      <c r="A508" s="208">
        <v>33019</v>
      </c>
      <c r="B508" s="53" t="s">
        <v>411</v>
      </c>
      <c r="C508" s="175" t="s">
        <v>3</v>
      </c>
      <c r="D508" s="122">
        <v>1.9039351851851852E-2</v>
      </c>
      <c r="E508" s="122" t="s">
        <v>423</v>
      </c>
      <c r="F508" s="122" t="b">
        <v>1</v>
      </c>
      <c r="G508" s="175"/>
      <c r="H508" s="232"/>
      <c r="I508" s="34"/>
      <c r="J508" s="34"/>
      <c r="K508" s="35" t="b">
        <v>1</v>
      </c>
      <c r="L508" s="35" t="s">
        <v>424</v>
      </c>
      <c r="M508" s="213">
        <v>42020</v>
      </c>
    </row>
    <row r="509" spans="1:13" ht="30" hidden="1" outlineLevel="2" x14ac:dyDescent="0.2">
      <c r="A509" s="208">
        <v>25514</v>
      </c>
      <c r="B509" s="109" t="s">
        <v>412</v>
      </c>
      <c r="C509" s="30" t="s">
        <v>3</v>
      </c>
      <c r="D509" s="122">
        <v>4.1666666666666666E-3</v>
      </c>
      <c r="E509" s="122" t="s">
        <v>423</v>
      </c>
      <c r="F509" s="122" t="b">
        <v>0</v>
      </c>
      <c r="G509" s="112" t="s">
        <v>413</v>
      </c>
      <c r="H509" s="138" t="s">
        <v>394</v>
      </c>
      <c r="I509" s="34"/>
      <c r="J509" s="34"/>
      <c r="K509" s="35" t="b">
        <v>1</v>
      </c>
      <c r="L509" s="35" t="s">
        <v>424</v>
      </c>
      <c r="M509" s="213">
        <v>42020</v>
      </c>
    </row>
    <row r="510" spans="1:13" hidden="1" outlineLevel="2" x14ac:dyDescent="0.25">
      <c r="A510" s="208">
        <v>25515</v>
      </c>
      <c r="B510" s="109" t="s">
        <v>414</v>
      </c>
      <c r="C510" s="30" t="s">
        <v>3</v>
      </c>
      <c r="D510" s="122">
        <v>1.4143518518518519E-2</v>
      </c>
      <c r="E510" s="122" t="s">
        <v>423</v>
      </c>
      <c r="F510" s="122" t="b">
        <v>0</v>
      </c>
      <c r="G510" s="112" t="s">
        <v>413</v>
      </c>
      <c r="H510" s="233"/>
      <c r="I510" s="34"/>
      <c r="J510" s="34"/>
      <c r="K510" s="35" t="b">
        <v>1</v>
      </c>
      <c r="L510" s="35" t="s">
        <v>424</v>
      </c>
      <c r="M510" s="213">
        <v>42020</v>
      </c>
    </row>
    <row r="511" spans="1:13" ht="30" hidden="1" outlineLevel="2" x14ac:dyDescent="0.25">
      <c r="A511" s="208">
        <v>25513</v>
      </c>
      <c r="B511" s="109" t="s">
        <v>415</v>
      </c>
      <c r="C511" s="30" t="s">
        <v>3</v>
      </c>
      <c r="D511" s="122">
        <v>4.386574074074074E-3</v>
      </c>
      <c r="E511" s="122" t="s">
        <v>423</v>
      </c>
      <c r="F511" s="122" t="b">
        <v>0</v>
      </c>
      <c r="G511" s="112" t="s">
        <v>413</v>
      </c>
      <c r="H511" s="233" t="s">
        <v>397</v>
      </c>
      <c r="I511" s="34"/>
      <c r="J511" s="34"/>
      <c r="K511" s="35" t="b">
        <v>0</v>
      </c>
      <c r="L511" s="35" t="s">
        <v>424</v>
      </c>
      <c r="M511" s="213">
        <v>42020</v>
      </c>
    </row>
    <row r="512" spans="1:13" hidden="1" outlineLevel="2" x14ac:dyDescent="0.2">
      <c r="A512" s="208">
        <v>25516</v>
      </c>
      <c r="B512" s="109" t="s">
        <v>416</v>
      </c>
      <c r="C512" s="30" t="s">
        <v>3</v>
      </c>
      <c r="D512" s="122">
        <v>4.6643518518518518E-3</v>
      </c>
      <c r="E512" s="122" t="s">
        <v>423</v>
      </c>
      <c r="F512" s="122" t="b">
        <v>0</v>
      </c>
      <c r="G512" s="112" t="s">
        <v>413</v>
      </c>
      <c r="H512" s="53" t="s">
        <v>398</v>
      </c>
      <c r="I512" s="34"/>
      <c r="J512" s="34"/>
      <c r="K512" s="35" t="b">
        <v>1</v>
      </c>
      <c r="L512" s="35" t="s">
        <v>424</v>
      </c>
      <c r="M512" s="213">
        <v>42020</v>
      </c>
    </row>
    <row r="513" spans="1:13" hidden="1" outlineLevel="1" x14ac:dyDescent="0.25">
      <c r="A513" s="207"/>
      <c r="B513" s="12" t="s">
        <v>602</v>
      </c>
      <c r="C513" s="12"/>
      <c r="D513" s="121" t="e">
        <f>SumTestCase('Test Cases'!$D$505:$D$520,Testcase_Color,Workflow_Color)</f>
        <v>#VALUE!</v>
      </c>
      <c r="E513" s="121"/>
      <c r="F513" s="121"/>
      <c r="G513" s="13"/>
      <c r="H513" s="12"/>
      <c r="I513" s="12"/>
      <c r="J513" s="12"/>
      <c r="K513" s="12"/>
      <c r="L513" s="12"/>
      <c r="M513" s="185"/>
    </row>
    <row r="514" spans="1:13" hidden="1" outlineLevel="2" x14ac:dyDescent="0.2">
      <c r="A514" s="208">
        <v>25491</v>
      </c>
      <c r="B514" s="53" t="s">
        <v>407</v>
      </c>
      <c r="C514" s="30" t="s">
        <v>3</v>
      </c>
      <c r="D514" s="122">
        <v>2.0833333333333332E-2</v>
      </c>
      <c r="E514" s="122" t="s">
        <v>557</v>
      </c>
      <c r="F514" s="122" t="b">
        <v>1</v>
      </c>
      <c r="G514" s="30" t="s">
        <v>408</v>
      </c>
      <c r="H514" s="175"/>
      <c r="I514" s="34"/>
      <c r="J514" s="34"/>
      <c r="K514" s="35" t="b">
        <v>1</v>
      </c>
      <c r="L514" s="35" t="s">
        <v>424</v>
      </c>
      <c r="M514" s="213">
        <v>42020</v>
      </c>
    </row>
    <row r="515" spans="1:13" ht="51" hidden="1" outlineLevel="2" x14ac:dyDescent="0.2">
      <c r="A515" s="208">
        <v>25512</v>
      </c>
      <c r="B515" s="53" t="s">
        <v>409</v>
      </c>
      <c r="C515" s="30" t="s">
        <v>3</v>
      </c>
      <c r="D515" s="122">
        <v>2.6388888888888889E-2</v>
      </c>
      <c r="E515" s="122" t="s">
        <v>557</v>
      </c>
      <c r="F515" s="122" t="b">
        <v>1</v>
      </c>
      <c r="G515" s="110" t="s">
        <v>410</v>
      </c>
      <c r="H515" s="139" t="s">
        <v>493</v>
      </c>
      <c r="I515" s="34"/>
      <c r="J515" s="34"/>
      <c r="K515" s="35" t="b">
        <v>1</v>
      </c>
      <c r="L515" s="35" t="s">
        <v>424</v>
      </c>
      <c r="M515" s="213">
        <v>42020</v>
      </c>
    </row>
    <row r="516" spans="1:13" hidden="1" outlineLevel="2" x14ac:dyDescent="0.25">
      <c r="A516" s="208">
        <v>33019</v>
      </c>
      <c r="B516" s="53" t="s">
        <v>411</v>
      </c>
      <c r="C516" s="175" t="s">
        <v>3</v>
      </c>
      <c r="D516" s="122">
        <v>2.0972222222222222E-2</v>
      </c>
      <c r="E516" s="122" t="s">
        <v>557</v>
      </c>
      <c r="F516" s="122" t="b">
        <v>1</v>
      </c>
      <c r="G516" s="175"/>
      <c r="H516" s="232"/>
      <c r="I516" s="34"/>
      <c r="J516" s="34"/>
      <c r="K516" s="35" t="b">
        <v>0</v>
      </c>
      <c r="L516" s="35" t="s">
        <v>424</v>
      </c>
      <c r="M516" s="213">
        <v>42020</v>
      </c>
    </row>
    <row r="517" spans="1:13" ht="30" hidden="1" outlineLevel="2" x14ac:dyDescent="0.2">
      <c r="A517" s="208">
        <v>25514</v>
      </c>
      <c r="B517" s="109" t="s">
        <v>412</v>
      </c>
      <c r="C517" s="30" t="s">
        <v>3</v>
      </c>
      <c r="D517" s="122">
        <v>5.0694444444444441E-3</v>
      </c>
      <c r="E517" s="122" t="s">
        <v>557</v>
      </c>
      <c r="F517" s="122" t="b">
        <v>0</v>
      </c>
      <c r="G517" s="112" t="s">
        <v>413</v>
      </c>
      <c r="H517" s="138" t="s">
        <v>394</v>
      </c>
      <c r="I517" s="34"/>
      <c r="J517" s="34"/>
      <c r="K517" s="35" t="b">
        <v>1</v>
      </c>
      <c r="L517" s="35" t="s">
        <v>424</v>
      </c>
      <c r="M517" s="213">
        <v>42020</v>
      </c>
    </row>
    <row r="518" spans="1:13" hidden="1" outlineLevel="2" x14ac:dyDescent="0.25">
      <c r="A518" s="208">
        <v>25515</v>
      </c>
      <c r="B518" s="109" t="s">
        <v>414</v>
      </c>
      <c r="C518" s="30" t="s">
        <v>3</v>
      </c>
      <c r="D518" s="122">
        <v>1.6111111111111111E-2</v>
      </c>
      <c r="E518" s="122" t="s">
        <v>557</v>
      </c>
      <c r="F518" s="122" t="b">
        <v>0</v>
      </c>
      <c r="G518" s="112" t="s">
        <v>413</v>
      </c>
      <c r="H518" s="233"/>
      <c r="I518" s="34"/>
      <c r="J518" s="34"/>
      <c r="K518" s="35" t="b">
        <v>1</v>
      </c>
      <c r="L518" s="35" t="s">
        <v>424</v>
      </c>
      <c r="M518" s="213">
        <v>42020</v>
      </c>
    </row>
    <row r="519" spans="1:13" ht="30" hidden="1" outlineLevel="2" x14ac:dyDescent="0.25">
      <c r="A519" s="208">
        <v>25513</v>
      </c>
      <c r="B519" s="109" t="s">
        <v>415</v>
      </c>
      <c r="C519" s="30" t="s">
        <v>3</v>
      </c>
      <c r="D519" s="122">
        <v>8.3333333333333332E-3</v>
      </c>
      <c r="E519" s="122" t="s">
        <v>557</v>
      </c>
      <c r="F519" s="122" t="b">
        <v>0</v>
      </c>
      <c r="G519" s="112" t="s">
        <v>413</v>
      </c>
      <c r="H519" s="233" t="s">
        <v>397</v>
      </c>
      <c r="I519" s="34"/>
      <c r="J519" s="34"/>
      <c r="K519" s="35" t="b">
        <v>0</v>
      </c>
      <c r="L519" s="35" t="s">
        <v>424</v>
      </c>
      <c r="M519" s="213">
        <v>42020</v>
      </c>
    </row>
    <row r="520" spans="1:13" hidden="1" outlineLevel="2" x14ac:dyDescent="0.2">
      <c r="A520" s="215">
        <v>25516</v>
      </c>
      <c r="B520" s="234" t="s">
        <v>416</v>
      </c>
      <c r="C520" s="226" t="s">
        <v>3</v>
      </c>
      <c r="D520" s="201">
        <v>1.0416666666666666E-2</v>
      </c>
      <c r="E520" s="201" t="s">
        <v>557</v>
      </c>
      <c r="F520" s="201" t="b">
        <v>0</v>
      </c>
      <c r="G520" s="235" t="s">
        <v>413</v>
      </c>
      <c r="H520" s="228" t="s">
        <v>398</v>
      </c>
      <c r="I520" s="219"/>
      <c r="J520" s="219"/>
      <c r="K520" s="205" t="b">
        <v>1</v>
      </c>
      <c r="L520" s="205" t="s">
        <v>424</v>
      </c>
      <c r="M520" s="220">
        <v>42020</v>
      </c>
    </row>
  </sheetData>
  <dataConsolidate/>
  <mergeCells count="12">
    <mergeCell ref="C148:E148"/>
    <mergeCell ref="F148:N148"/>
    <mergeCell ref="C278:E278"/>
    <mergeCell ref="F278:N278"/>
    <mergeCell ref="C325:E325"/>
    <mergeCell ref="F325:N325"/>
    <mergeCell ref="C382:E382"/>
    <mergeCell ref="F382:M382"/>
    <mergeCell ref="C434:E434"/>
    <mergeCell ref="F434:M434"/>
    <mergeCell ref="C487:E487"/>
    <mergeCell ref="F487:M487"/>
  </mergeCells>
  <dataValidations count="7">
    <dataValidation type="list" allowBlank="1" showInputMessage="1" showErrorMessage="1" sqref="E137:E146 E113:E118 E71:E80 E82:E87 E89:E92 E94:E98 E100:E102 E104:E106 E108:E111 E120:E135 E5:E14 E16:E21 E23:E28 E30:E34 E36:E38 E40:E45 E47:E50 E52:E56 E58:E62 E64:E69 E271:E272 E274:E276 E151:E155 E248:E253 E245:E246 E243 E241 E233:E239 E228:E231 E223:E226 E218:E221 E213:E216 E208:E211 E203:E206 E198:E201 E193:E196 E188:E191 E185:E186 E182:E183 E179:E180 E176:E177 E173:E174 E169:E171 E164:E167 E161:E162 E157:E159 E255:E269 E308:E311 E313:E319 E321:E323 E301:E306 E294:E299 E286:E292 E281:E284 E358:E365 E367:E375 E377:E380 E355:E356 E350:E353 E337:E348 E328:E335 E423 E425:E430 E432 E412:E421 E408:E410 E403:E406 E396:E401 E393:E394 E388:E391 E385:E386 E475:E485 E468:E473 E462:E466 E437:E460 E506:E512 E514:E520 E498:E504 E490:E496">
      <formula1>Modes</formula1>
    </dataValidation>
    <dataValidation type="list" allowBlank="1" showInputMessage="1" showErrorMessage="1" sqref="L71:L80 M119 L137:L146 L113:L135 L104:L106 M146 L100:L102 L108:L111 L94:L98 L89:L92 L82:L87 L5:L14 L16:L21 L23:L28 L30:L34 L58:L62 L40:L45 L47:L50 L52:L56 L36:L38 L64:L69 L274:L276 L271:L272 L223:L226 L218:L221 L213:L216 L208:L211 L203:L206 L198:L201 L193:L196 L188:L191 L185:L186 L182:L183 L179:L180 L176:L177 L173:L174 L169:L171 L164:L167 L161:L162 L228:L231 L233:L239 L241 L243 L245:L246 L248:L253 L157:L159 L151:L155 L255:L269 L313:L319 L308:L311 L321:L323 L301:L306 L294:L299 L286:L292 L281:L284 L377:L380 L358:L365 L367:L375 L328:L335 L337:L348 L350:L353 L355:L356 L423 L432 L425:L430 L385:L386 L412:L421 L408:L410 L403:L406 L396:L401 L393:L394 L388:L391 L475:L485 L437:L460 L468:L473 L462:L466 L514:L520 L506:L512 L490:L496 L498:L504">
      <formula1>Engineer_Names</formula1>
    </dataValidation>
    <dataValidation type="list" allowBlank="1" showInputMessage="1" showErrorMessage="1" sqref="F71:F80 F82:F87 F137:F146 F120:F135 F113:F118 F108:F111 F100:F102 F94:F98 F104:F106 F89:F92 F52:F56 F40:F45 F47:F50 F5:F14 F16:F21 F23:F28 F30:F34 F36:F38 F58:F62 F64:F69 F274:F276 F271:F272 F223:F226 F157:F159 F161:F162 F164:F167 F169:F171 F173:F174 F176:F177 F179:F180 F182:F183 F185:F186 F188:F191 F193:F196 F198:F201 F203:F206 F208:F211 F213:F216 F218:F221 F228:F231 F233:F239 F241 F243 F245:F246 F248:F253 F151:F155 F255:F269 F321:F323 F313:F319 F308:F311 F301:F306 F281:F284 F286:F292 F294:F299 F358:F365 F377:F380 F367:F375 F355:F356 F350:F353 F337:F348 F328:F335 F423 F432 F425:F430 F421 F412:F419 F408:F410 F403:F406 F396:F401 F393:F394 F388:F391 F385:F386 F475:F485 F468:F473 F462:F466 F437:F460 F506:F512 F514:F520 F490:F496 F498:F504">
      <formula1>Cert_Suite_Status</formula1>
    </dataValidation>
    <dataValidation type="list" allowBlank="1" showInputMessage="1" showErrorMessage="1" sqref="K113:K118 K71:K80 K82:K87 K89:K92 K94:K98 K100:K102 K104:K106 K108:K111 K137:K146 K120:K135 K5:K14 K58:K62 K47:K50 K64:K69 K52:K56 K40:K45 K36:K38 K30:K34 K23:K28 K16:K21 K274:K276 K271:K272 K157:K159 K223:K226 K218:K221 K213:K216 K208:K211 K203:K206 K198:K201 K193:K196 K188:K191 K185:K186 K182:K183 K179:K180 K176:K177 K173:K174 K169:K171 K164:K167 K161:K162 K228:K231 K233:K239 K241 K243 K245:K246 K248:K253 K151:K155 K255:K269 K313:K319 K308:K311 K321:K323 K301:K306 K281:K284 K294:K299 K286:K292 K377:K380 K358:K365 K367:K375 K337:K348 K350:K353 K355:K356 K328:K335 K423 K432 K425:K430 K385:K386 K388:K391 K393:K394 K396:K401 K412:K421 K408:K410 K403:K406 K475:K485 K468:K473 K462:K466 K437:K460 K506:K512 K514:K520 K490:K496 K498:K504">
      <formula1>Stability_Values</formula1>
    </dataValidation>
    <dataValidation type="list" allowBlank="1" showInputMessage="1" showErrorMessage="1" sqref="J113:J118 J108:J111 J120:J135 J137:J146 J104:J106 J100:J102 J94:J98 J89:J92 J82:J87 J16:J21 J23:J28 J30:J34 J36:J38 J40:J45 J47:J50 J52:J56 J58:J62 J64:J69 J5:J14 J274:J276 J271:J272 J151:J155 J157:J159 J161:J162 J164:J167 J169:J171 J173:J174 J176:J177 J179:J180 J182:J183 J185:J186 J188:J191 J193:J196 J198:J201 J203:J206 J208:J211 J213:J216 J218:J221 J228:J231 J233:J239 J241 J243 J245:J246 J248:J253 J223:J226 J255:J269 J321:J323 J308:J311 J313:J319 J301:J306 J294:J299 J286:J292 J281:J284 J377:J380 J358:J365 J367:J375 J328:J335 J337:J348 J350:J353 J355:J356 J432 J423 J425:J430 J385:J386 J388:J391 J393:J394 J396:J401 J403:J406 J408:J410 J412:J421 J475:J485 J437:J460 J462:J466 J468:J473 J514:J520 J506:J512 J498:J504 J490:J496 J71:J80">
      <formula1>Fail_Type_Values</formula1>
    </dataValidation>
    <dataValidation type="list" allowBlank="1" showInputMessage="1" showErrorMessage="1" sqref="WVL137:WVL146 WVL71:WVL80 C71:C80 C100:C102 C120:C135 C94:C98 C82:C87 C89:C92 C108:C111 C104:C106 C113:C118 C137:C146 WLP137:WLP146 WBT137:WBT146 VRX137:VRX146 VIB137:VIB146 UYF137:UYF146 UOJ137:UOJ146 UEN137:UEN146 TUR137:TUR146 TKV137:TKV146 TAZ137:TAZ146 SRD137:SRD146 SHH137:SHH146 RXL137:RXL146 RNP137:RNP146 RDT137:RDT146 QTX137:QTX146 QKB137:QKB146 QAF137:QAF146 PQJ137:PQJ146 PGN137:PGN146 OWR137:OWR146 OMV137:OMV146 OCZ137:OCZ146 NTD137:NTD146 NJH137:NJH146 MZL137:MZL146 MPP137:MPP146 MFT137:MFT146 LVX137:LVX146 LMB137:LMB146 LCF137:LCF146 KSJ137:KSJ146 KIN137:KIN146 JYR137:JYR146 JOV137:JOV146 JEZ137:JEZ146 IVD137:IVD146 ILH137:ILH146 IBL137:IBL146 HRP137:HRP146 HHT137:HHT146 GXX137:GXX146 GOB137:GOB146 GEF137:GEF146 FUJ137:FUJ146 FKN137:FKN146 FAR137:FAR146 EQV137:EQV146 EGZ137:EGZ146 DXD137:DXD146 DNH137:DNH146 DDL137:DDL146 CTP137:CTP146 CJT137:CJT146 BZX137:BZX146 BQB137:BQB146 BGF137:BGF146 AWJ137:AWJ146 AMN137:AMN146 ACR137:ACR146 SV137:SV146 IZ137:IZ146 WVL113:WVL118 WLP113:WLP118 WBT113:WBT118 VRX113:VRX118 VIB113:VIB118 UYF113:UYF118 UOJ113:UOJ118 UEN113:UEN118 TUR113:TUR118 TKV113:TKV118 TAZ113:TAZ118 SRD113:SRD118 SHH113:SHH118 RXL113:RXL118 RNP113:RNP118 RDT113:RDT118 QTX113:QTX118 QKB113:QKB118 QAF113:QAF118 PQJ113:PQJ118 PGN113:PGN118 OWR113:OWR118 OMV113:OMV118 OCZ113:OCZ118 NTD113:NTD118 NJH113:NJH118 MZL113:MZL118 MPP113:MPP118 MFT113:MFT118 LVX113:LVX118 LMB113:LMB118 LCF113:LCF118 KSJ113:KSJ118 KIN113:KIN118 JYR113:JYR118 JOV113:JOV118 JEZ113:JEZ118 IVD113:IVD118 ILH113:ILH118 IBL113:IBL118 HRP113:HRP118 HHT113:HHT118 GXX113:GXX118 GOB113:GOB118 GEF113:GEF118 FUJ113:FUJ118 FKN113:FKN118 FAR113:FAR118 EQV113:EQV118 EGZ113:EGZ118 DXD113:DXD118 DNH113:DNH118 DDL113:DDL118 CTP113:CTP118 CJT113:CJT118 BZX113:BZX118 BQB113:BQB118 BGF113:BGF118 AWJ113:AWJ118 AMN113:AMN118 ACR113:ACR118 SV113:SV118 IZ113:IZ118 WVL104:WVL106 WLP104:WLP106 WBT104:WBT106 VRX104:VRX106 VIB104:VIB106 UYF104:UYF106 UOJ104:UOJ106 UEN104:UEN106 TUR104:TUR106 TKV104:TKV106 TAZ104:TAZ106 SRD104:SRD106 SHH104:SHH106 RXL104:RXL106 RNP104:RNP106 RDT104:RDT106 QTX104:QTX106 QKB104:QKB106 QAF104:QAF106 PQJ104:PQJ106 PGN104:PGN106 OWR104:OWR106 OMV104:OMV106 OCZ104:OCZ106 NTD104:NTD106 NJH104:NJH106 MZL104:MZL106 MPP104:MPP106 MFT104:MFT106 LVX104:LVX106 LMB104:LMB106 LCF104:LCF106 KSJ104:KSJ106 KIN104:KIN106 JYR104:JYR106 JOV104:JOV106 JEZ104:JEZ106 IVD104:IVD106 ILH104:ILH106 IBL104:IBL106 HRP104:HRP106 HHT104:HHT106 GXX104:GXX106 GOB104:GOB106 GEF104:GEF106 FUJ104:FUJ106 FKN104:FKN106 FAR104:FAR106 EQV104:EQV106 EGZ104:EGZ106 DXD104:DXD106 DNH104:DNH106 DDL104:DDL106 CTP104:CTP106 CJT104:CJT106 BZX104:BZX106 BQB104:BQB106 BGF104:BGF106 AWJ104:AWJ106 AMN104:AMN106 ACR104:ACR106 SV104:SV106 IZ104:IZ106 WVL94:WVL98 WLP94:WLP98 WBT94:WBT98 VRX94:VRX98 VIB94:VIB98 UYF94:UYF98 UOJ94:UOJ98 UEN94:UEN98 TUR94:TUR98 TKV94:TKV98 TAZ94:TAZ98 SRD94:SRD98 SHH94:SHH98 RXL94:RXL98 RNP94:RNP98 RDT94:RDT98 QTX94:QTX98 QKB94:QKB98 QAF94:QAF98 PQJ94:PQJ98 PGN94:PGN98 OWR94:OWR98 OMV94:OMV98 OCZ94:OCZ98 NTD94:NTD98 NJH94:NJH98 MZL94:MZL98 MPP94:MPP98 MFT94:MFT98 LVX94:LVX98 LMB94:LMB98 LCF94:LCF98 KSJ94:KSJ98 KIN94:KIN98 JYR94:JYR98 JOV94:JOV98 JEZ94:JEZ98 IVD94:IVD98 ILH94:ILH98 IBL94:IBL98 HRP94:HRP98 HHT94:HHT98 GXX94:GXX98 GOB94:GOB98 GEF94:GEF98 FUJ94:FUJ98 FKN94:FKN98 FAR94:FAR98 EQV94:EQV98 EGZ94:EGZ98 DXD94:DXD98 DNH94:DNH98 DDL94:DDL98 CTP94:CTP98 CJT94:CJT98 BZX94:BZX98 BQB94:BQB98 BGF94:BGF98 AWJ94:AWJ98 AMN94:AMN98 ACR94:ACR98 SV94:SV98 IZ94:IZ98 IZ89:IZ92 SV89:SV92 ACR89:ACR92 AMN89:AMN92 AWJ89:AWJ92 BGF89:BGF92 BQB89:BQB92 BZX89:BZX92 CJT89:CJT92 CTP89:CTP92 DDL89:DDL92 DNH89:DNH92 DXD89:DXD92 EGZ89:EGZ92 EQV89:EQV92 FAR89:FAR92 FKN89:FKN92 FUJ89:FUJ92 GEF89:GEF92 GOB89:GOB92 GXX89:GXX92 HHT89:HHT92 HRP89:HRP92 IBL89:IBL92 ILH89:ILH92 IVD89:IVD92 JEZ89:JEZ92 JOV89:JOV92 JYR89:JYR92 KIN89:KIN92 KSJ89:KSJ92 LCF89:LCF92 LMB89:LMB92 LVX89:LVX92 MFT89:MFT92 MPP89:MPP92 MZL89:MZL92 NJH89:NJH92 NTD89:NTD92 OCZ89:OCZ92 OMV89:OMV92 OWR89:OWR92 PGN89:PGN92 PQJ89:PQJ92 QAF89:QAF92 QKB89:QKB92 QTX89:QTX92 RDT89:RDT92 RNP89:RNP92 RXL89:RXL92 SHH89:SHH92 SRD89:SRD92 TAZ89:TAZ92 TKV89:TKV92 TUR89:TUR92 UEN89:UEN92 UOJ89:UOJ92 UYF89:UYF92 VIB89:VIB92 VRX89:VRX92 WBT89:WBT92 WLP89:WLP92 WVL89:WVL92 IZ100:IZ102 SV100:SV102 ACR100:ACR102 AMN100:AMN102 AWJ100:AWJ102 BGF100:BGF102 BQB100:BQB102 BZX100:BZX102 CJT100:CJT102 CTP100:CTP102 DDL100:DDL102 DNH100:DNH102 DXD100:DXD102 EGZ100:EGZ102 EQV100:EQV102 FAR100:FAR102 FKN100:FKN102 FUJ100:FUJ102 GEF100:GEF102 GOB100:GOB102 GXX100:GXX102 HHT100:HHT102 HRP100:HRP102 IBL100:IBL102 ILH100:ILH102 IVD100:IVD102 JEZ100:JEZ102 JOV100:JOV102 JYR100:JYR102 KIN100:KIN102 KSJ100:KSJ102 LCF100:LCF102 LMB100:LMB102 LVX100:LVX102 MFT100:MFT102 MPP100:MPP102 MZL100:MZL102 NJH100:NJH102 NTD100:NTD102 OCZ100:OCZ102 OMV100:OMV102 OWR100:OWR102 PGN100:PGN102 PQJ100:PQJ102 QAF100:QAF102 QKB100:QKB102 QTX100:QTX102 RDT100:RDT102 RNP100:RNP102 RXL100:RXL102 SHH100:SHH102 SRD100:SRD102 TAZ100:TAZ102 TKV100:TKV102 TUR100:TUR102 UEN100:UEN102 UOJ100:UOJ102 UYF100:UYF102 VIB100:VIB102 VRX100:VRX102 WBT100:WBT102 WLP100:WLP102 WVL100:WVL102 IZ108:IZ111 SV108:SV111 ACR108:ACR111 AMN108:AMN111 AWJ108:AWJ111 BGF108:BGF111 BQB108:BQB111 BZX108:BZX111 CJT108:CJT111 CTP108:CTP111 DDL108:DDL111 DNH108:DNH111 DXD108:DXD111 EGZ108:EGZ111 EQV108:EQV111 FAR108:FAR111 FKN108:FKN111 FUJ108:FUJ111 GEF108:GEF111 GOB108:GOB111 GXX108:GXX111 HHT108:HHT111 HRP108:HRP111 IBL108:IBL111 ILH108:ILH111 IVD108:IVD111 JEZ108:JEZ111 JOV108:JOV111 JYR108:JYR111 KIN108:KIN111 KSJ108:KSJ111 LCF108:LCF111 LMB108:LMB111 LVX108:LVX111 MFT108:MFT111 MPP108:MPP111 MZL108:MZL111 NJH108:NJH111 NTD108:NTD111 OCZ108:OCZ111 OMV108:OMV111 OWR108:OWR111 PGN108:PGN111 PQJ108:PQJ111 QAF108:QAF111 QKB108:QKB111 QTX108:QTX111 RDT108:RDT111 RNP108:RNP111 RXL108:RXL111 SHH108:SHH111 SRD108:SRD111 TAZ108:TAZ111 TKV108:TKV111 TUR108:TUR111 UEN108:UEN111 UOJ108:UOJ111 UYF108:UYF111 VIB108:VIB111 VRX108:VRX111 WBT108:WBT111 WLP108:WLP111 WVL108:WVL111 IZ120:IZ135 SV120:SV135 ACR120:ACR135 AMN120:AMN135 AWJ120:AWJ135 BGF120:BGF135 BQB120:BQB135 BZX120:BZX135 CJT120:CJT135 CTP120:CTP135 DDL120:DDL135 DNH120:DNH135 DXD120:DXD135 EGZ120:EGZ135 EQV120:EQV135 FAR120:FAR135 FKN120:FKN135 FUJ120:FUJ135 GEF120:GEF135 GOB120:GOB135 GXX120:GXX135 HHT120:HHT135 HRP120:HRP135 IBL120:IBL135 ILH120:ILH135 IVD120:IVD135 JEZ120:JEZ135 JOV120:JOV135 JYR120:JYR135 KIN120:KIN135 KSJ120:KSJ135 LCF120:LCF135 LMB120:LMB135 LVX120:LVX135 MFT120:MFT135 MPP120:MPP135 MZL120:MZL135 NJH120:NJH135 NTD120:NTD135 OCZ120:OCZ135 OMV120:OMV135 OWR120:OWR135 PGN120:PGN135 PQJ120:PQJ135 QAF120:QAF135 QKB120:QKB135 QTX120:QTX135 RDT120:RDT135 RNP120:RNP135 RXL120:RXL135 SHH120:SHH135 SRD120:SRD135 TAZ120:TAZ135 TKV120:TKV135 TUR120:TUR135 UEN120:UEN135 UOJ120:UOJ135 UYF120:UYF135 VIB120:VIB135 VRX120:VRX135 WBT120:WBT135 WLP120:WLP135 WVL120:WVL135 WVL82:WVL87 WLP82:WLP87 WBT82:WBT87 VRX82:VRX87 VIB82:VIB87 UYF82:UYF87 UOJ82:UOJ87 UEN82:UEN87 TUR82:TUR87 TKV82:TKV87 TAZ82:TAZ87 SRD82:SRD87 SHH82:SHH87 RXL82:RXL87 RNP82:RNP87 RDT82:RDT87 QTX82:QTX87 QKB82:QKB87 QAF82:QAF87 PQJ82:PQJ87 PGN82:PGN87 OWR82:OWR87 OMV82:OMV87 OCZ82:OCZ87 NTD82:NTD87 NJH82:NJH87 MZL82:MZL87 MPP82:MPP87 MFT82:MFT87 LVX82:LVX87 LMB82:LMB87 LCF82:LCF87 KSJ82:KSJ87 KIN82:KIN87 JYR82:JYR87 JOV82:JOV87 JEZ82:JEZ87 IVD82:IVD87 ILH82:ILH87 IBL82:IBL87 HRP82:HRP87 HHT82:HHT87 GXX82:GXX87 GOB82:GOB87 GEF82:GEF87 FUJ82:FUJ87 FKN82:FKN87 FAR82:FAR87 EQV82:EQV87 EGZ82:EGZ87 DXD82:DXD87 DNH82:DNH87 DDL82:DDL87 CTP82:CTP87 CJT82:CJT87 BZX82:BZX87 BQB82:BQB87 BGF82:BGF87 AWJ82:AWJ87 AMN82:AMN87 ACR82:ACR87 SV82:SV87 IZ82:IZ87 IZ71:IZ80 SV71:SV80 ACR71:ACR80 AMN71:AMN80 AWJ71:AWJ80 BGF71:BGF80 BQB71:BQB80 BZX71:BZX80 CJT71:CJT80 CTP71:CTP80 DDL71:DDL80 DNH71:DNH80 DXD71:DXD80 EGZ71:EGZ80 EQV71:EQV80 FAR71:FAR80 FKN71:FKN80 FUJ71:FUJ80 GEF71:GEF80 GOB71:GOB80 GXX71:GXX80 HHT71:HHT80 HRP71:HRP80 IBL71:IBL80 ILH71:ILH80 IVD71:IVD80 JEZ71:JEZ80 JOV71:JOV80 JYR71:JYR80 KIN71:KIN80 KSJ71:KSJ80 LCF71:LCF80 LMB71:LMB80 LVX71:LVX80 MFT71:MFT80 MPP71:MPP80 MZL71:MZL80 NJH71:NJH80 NTD71:NTD80 OCZ71:OCZ80 OMV71:OMV80 OWR71:OWR80 PGN71:PGN80 PQJ71:PQJ80 QAF71:QAF80 QKB71:QKB80 QTX71:QTX80 RDT71:RDT80 RNP71:RNP80 RXL71:RXL80 SHH71:SHH80 SRD71:SRD80 TAZ71:TAZ80 TKV71:TKV80 TUR71:TUR80 UEN71:UEN80 UOJ71:UOJ80 UYF71:UYF80 VIB71:VIB80 VRX71:VRX80 WBT71:WBT80 WLP71:WLP80 SR64:SR69 SR58:SR62 ACN58:ACN62 AMJ58:AMJ62 AWF58:AWF62 BGB58:BGB62 BPX58:BPX62 BZT58:BZT62 CJP58:CJP62 CTL58:CTL62 DDH58:DDH62 DND58:DND62 DWZ58:DWZ62 EGV58:EGV62 EQR58:EQR62 FAN58:FAN62 FKJ58:FKJ62 FUF58:FUF62 GEB58:GEB62 GNX58:GNX62 GXT58:GXT62 HHP58:HHP62 HRL58:HRL62 IBH58:IBH62 ILD58:ILD62 IUZ58:IUZ62 JEV58:JEV62 JOR58:JOR62 JYN58:JYN62 KIJ58:KIJ62 KSF58:KSF62 LCB58:LCB62 LLX58:LLX62 LVT58:LVT62 MFP58:MFP62 MPL58:MPL62 MZH58:MZH62 NJD58:NJD62 NSZ58:NSZ62 OCV58:OCV62 OMR58:OMR62 OWN58:OWN62 PGJ58:PGJ62 PQF58:PQF62 QAB58:QAB62 QJX58:QJX62 QTT58:QTT62 RDP58:RDP62 RNL58:RNL62 RXH58:RXH62 SHD58:SHD62 SQZ58:SQZ62 TAV58:TAV62 TKR58:TKR62 TUN58:TUN62 UEJ58:UEJ62 UOF58:UOF62 UYB58:UYB62 VHX58:VHX62 VRT58:VRT62 WBP58:WBP62 WLL58:WLL62 WVH58:WVH62 IV47:IV50 SR47:SR50 ACN47:ACN50 AMJ47:AMJ50 AWF47:AWF50 BGB47:BGB50 BPX47:BPX50 BZT47:BZT50 CJP47:CJP50 CTL47:CTL50 DDH47:DDH50 DND47:DND50 DWZ47:DWZ50 EGV47:EGV50 EQR47:EQR50 FAN47:FAN50 FKJ47:FKJ50 FUF47:FUF50 GEB47:GEB50 GNX47:GNX50 GXT47:GXT50 HHP47:HHP50 HRL47:HRL50 IBH47:IBH50 ILD47:ILD50 IUZ47:IUZ50 JEV47:JEV50 JOR47:JOR50 JYN47:JYN50 KIJ47:KIJ50 KSF47:KSF50 LCB47:LCB50 LLX47:LLX50 LVT47:LVT50 MFP47:MFP50 MPL47:MPL50 MZH47:MZH50 NJD47:NJD50 NSZ47:NSZ50 OCV47:OCV50 OMR47:OMR50 OWN47:OWN50 PGJ47:PGJ50 PQF47:PQF50 QAB47:QAB50 QJX47:QJX50 QTT47:QTT50 RDP47:RDP50 RNL47:RNL50 RXH47:RXH50 SHD47:SHD50 SQZ47:SQZ50 TAV47:TAV50 TKR47:TKR50 TUN47:TUN50 UEJ47:UEJ50 UOF47:UOF50 UYB47:UYB50 VHX47:VHX50 VRT47:VRT50 WBP47:WBP50 WLL47:WLL50 WVH47:WVH50 IV36:IV38 SR36:SR38 ACN36:ACN38 AMJ36:AMJ38 AWF36:AWF38 BGB36:BGB38 BPX36:BPX38 BZT36:BZT38 CJP36:CJP38 CTL36:CTL38 DDH36:DDH38 DND36:DND38 DWZ36:DWZ38 EGV36:EGV38 EQR36:EQR38 FAN36:FAN38 FKJ36:FKJ38 FUF36:FUF38 GEB36:GEB38 GNX36:GNX38 GXT36:GXT38 HHP36:HHP38 HRL36:HRL38 IBH36:IBH38 ILD36:ILD38 IUZ36:IUZ38 JEV36:JEV38 JOR36:JOR38 JYN36:JYN38 KIJ36:KIJ38 KSF36:KSF38 LCB36:LCB38 LLX36:LLX38 LVT36:LVT38 MFP36:MFP38 MPL36:MPL38 MZH36:MZH38 NJD36:NJD38 NSZ36:NSZ38 OCV36:OCV38 OMR36:OMR38 OWN36:OWN38 PGJ36:PGJ38 PQF36:PQF38 QAB36:QAB38 QJX36:QJX38 QTT36:QTT38 RDP36:RDP38 RNL36:RNL38 RXH36:RXH38 SHD36:SHD38 SQZ36:SQZ38 TAV36:TAV38 TKR36:TKR38 TUN36:TUN38 UEJ36:UEJ38 UOF36:UOF38 UYB36:UYB38 VHX36:VHX38 VRT36:VRT38 WBP36:WBP38 WLL36:WLL38 WVH36:WVH38 IV23:IV28 SR23:SR28 ACN23:ACN28 AMJ23:AMJ28 AWF23:AWF28 BGB23:BGB28 BPX23:BPX28 BZT23:BZT28 CJP23:CJP28 CTL23:CTL28 DDH23:DDH28 DND23:DND28 DWZ23:DWZ28 EGV23:EGV28 EQR23:EQR28 FAN23:FAN28 FKJ23:FKJ28 FUF23:FUF28 GEB23:GEB28 GNX23:GNX28 GXT23:GXT28 HHP23:HHP28 HRL23:HRL28 IBH23:IBH28 ILD23:ILD28 IUZ23:IUZ28 JEV23:JEV28 JOR23:JOR28 JYN23:JYN28 KIJ23:KIJ28 KSF23:KSF28 LCB23:LCB28 LLX23:LLX28 LVT23:LVT28 MFP23:MFP28 MPL23:MPL28 MZH23:MZH28 NJD23:NJD28 NSZ23:NSZ28 OCV23:OCV28 OMR23:OMR28 OWN23:OWN28 PGJ23:PGJ28 PQF23:PQF28 QAB23:QAB28 QJX23:QJX28 QTT23:QTT28 RDP23:RDP28 RNL23:RNL28 RXH23:RXH28 SHD23:SHD28 SQZ23:SQZ28 TAV23:TAV28 TKR23:TKR28 TUN23:TUN28 UEJ23:UEJ28 UOF23:UOF28 UYB23:UYB28 VHX23:VHX28 VRT23:VRT28 WBP23:WBP28 WLL23:WLL28 WVH23:WVH28 IV58:IV62 IV17:IV21 SR17:SR21 ACN17:ACN21 AMJ17:AMJ21 AWF17:AWF21 BGB17:BGB21 BPX17:BPX21 BZT17:BZT21 CJP17:CJP21 CTL17:CTL21 DDH17:DDH21 DND17:DND21 DWZ17:DWZ21 EGV17:EGV21 EQR17:EQR21 FAN17:FAN21 FKJ17:FKJ21 FUF17:FUF21 GEB17:GEB21 GNX17:GNX21 GXT17:GXT21 HHP17:HHP21 HRL17:HRL21 IBH17:IBH21 ILD17:ILD21 IUZ17:IUZ21 JEV17:JEV21 JOR17:JOR21 JYN17:JYN21 KIJ17:KIJ21 KSF17:KSF21 LCB17:LCB21 LLX17:LLX21 LVT17:LVT21 MFP17:MFP21 MPL17:MPL21 MZH17:MZH21 NJD17:NJD21 NSZ17:NSZ21 OCV17:OCV21 OMR17:OMR21 OWN17:OWN21 PGJ17:PGJ21 PQF17:PQF21 QAB17:QAB21 QJX17:QJX21 QTT17:QTT21 RDP17:RDP21 RNL17:RNL21 RXH17:RXH21 SHD17:SHD21 SQZ17:SQZ21 TAV17:TAV21 TKR17:TKR21 TUN17:TUN21 UEJ17:UEJ21 UOF17:UOF21 UYB17:UYB21 VHX17:VHX21 VRT17:VRT21 WBP17:WBP21 WLL17:WLL21 WVH17:WVH21 WVH30:WVH34 WLL30:WLL34 WBP30:WBP34 VRT30:VRT34 VHX30:VHX34 UYB30:UYB34 UOF30:UOF34 UEJ30:UEJ34 TUN30:TUN34 TKR30:TKR34 TAV30:TAV34 SQZ30:SQZ34 SHD30:SHD34 RXH30:RXH34 RNL30:RNL34 RDP30:RDP34 QTT30:QTT34 QJX30:QJX34 QAB30:QAB34 PQF30:PQF34 PGJ30:PGJ34 OWN30:OWN34 OMR30:OMR34 OCV30:OCV34 NSZ30:NSZ34 NJD30:NJD34 MZH30:MZH34 MPL30:MPL34 MFP30:MFP34 LVT30:LVT34 LLX30:LLX34 LCB30:LCB34 KSF30:KSF34 KIJ30:KIJ34 JYN30:JYN34 JOR30:JOR34 JEV30:JEV34 IUZ30:IUZ34 ILD30:ILD34 IBH30:IBH34 HRL30:HRL34 HHP30:HHP34 GXT30:GXT34 GNX30:GNX34 GEB30:GEB34 FUF30:FUF34 FKJ30:FKJ34 FAN30:FAN34 EQR30:EQR34 EGV30:EGV34 DWZ30:DWZ34 DND30:DND34 DDH30:DDH34 CTL30:CTL34 CJP30:CJP34 BZT30:BZT34 BPX30:BPX34 BGB30:BGB34 AWF30:AWF34 AMJ30:AMJ34 ACN30:ACN34 SR30:SR34 IV30:IV34 WVH40:WVH45 WLL40:WLL45 WBP40:WBP45 VRT40:VRT45 VHX40:VHX45 UYB40:UYB45 UOF40:UOF45 UEJ40:UEJ45 TUN40:TUN45 TKR40:TKR45 TAV40:TAV45 SQZ40:SQZ45 SHD40:SHD45 RXH40:RXH45 RNL40:RNL45 RDP40:RDP45 QTT40:QTT45 QJX40:QJX45 QAB40:QAB45 PQF40:PQF45 PGJ40:PGJ45 OWN40:OWN45 OMR40:OMR45 OCV40:OCV45 NSZ40:NSZ45 NJD40:NJD45 MZH40:MZH45 MPL40:MPL45 MFP40:MFP45 LVT40:LVT45 LLX40:LLX45 LCB40:LCB45 KSF40:KSF45 KIJ40:KIJ45 JYN40:JYN45 JOR40:JOR45 JEV40:JEV45 IUZ40:IUZ45 ILD40:ILD45 IBH40:IBH45 HRL40:HRL45 HHP40:HHP45 GXT40:GXT45 GNX40:GNX45 GEB40:GEB45 FUF40:FUF45 FKJ40:FKJ45 FAN40:FAN45 EQR40:EQR45 EGV40:EGV45 DWZ40:DWZ45 DND40:DND45 DDH40:DDH45 CTL40:CTL45 CJP40:CJP45 BZT40:BZT45 BPX40:BPX45 BGB40:BGB45 AWF40:AWF45 AMJ40:AMJ45 ACN40:ACN45 SR40:SR45 IV40:IV45 WVH52:WVH56 WLL52:WLL56 WBP52:WBP56 VRT52:VRT56 VHX52:VHX56 UYB52:UYB56 UOF52:UOF56 UEJ52:UEJ56 TUN52:TUN56 TKR52:TKR56 TAV52:TAV56 SQZ52:SQZ56 SHD52:SHD56 RXH52:RXH56 RNL52:RNL56 RDP52:RDP56 QTT52:QTT56 QJX52:QJX56 QAB52:QAB56 PQF52:PQF56 PGJ52:PGJ56 OWN52:OWN56 OMR52:OMR56 OCV52:OCV56 NSZ52:NSZ56 NJD52:NJD56 MZH52:MZH56 MPL52:MPL56 MFP52:MFP56 LVT52:LVT56 LLX52:LLX56 LCB52:LCB56 KSF52:KSF56 KIJ52:KIJ56 JYN52:JYN56 JOR52:JOR56 JEV52:JEV56 IUZ52:IUZ56 ILD52:ILD56 IBH52:IBH56 HRL52:HRL56 HHP52:HHP56 GXT52:GXT56 GNX52:GNX56 GEB52:GEB56 FUF52:FUF56 FKJ52:FKJ56 FAN52:FAN56 EQR52:EQR56 EGV52:EGV56 DWZ52:DWZ56 DND52:DND56 DDH52:DDH56 CTL52:CTL56 CJP52:CJP56 BZT52:BZT56 BPX52:BPX56 BGB52:BGB56 AWF52:AWF56 AMJ52:AMJ56 ACN52:ACN56 SR52:SR56 IV52:IV56 WVH64:WVH69 WLL64:WLL69 WBP64:WBP69 VRT64:VRT69 VHX64:VHX69 UYB64:UYB69 UOF64:UOF69 UEJ64:UEJ69 TUN64:TUN69 TKR64:TKR69 TAV64:TAV69 SQZ64:SQZ69 SHD64:SHD69 RXH64:RXH69 RNL64:RNL69 RDP64:RDP69 QTT64:QTT69 QJX64:QJX69 QAB64:QAB69 PQF64:PQF69 PGJ64:PGJ69 OWN64:OWN69 OMR64:OMR69 OCV64:OCV69 NSZ64:NSZ69 NJD64:NJD69 MZH64:MZH69 MPL64:MPL69 MFP64:MFP69 LVT64:LVT69 LLX64:LLX69 LCB64:LCB69 KSF64:KSF69 KIJ64:KIJ69 JYN64:JYN69 JOR64:JOR69 JEV64:JEV69 IUZ64:IUZ69 ILD64:ILD69 IBH64:IBH69 HRL64:HRL69 HHP64:HHP69 GXT64:GXT69 GNX64:GNX69 GEB64:GEB69 FUF64:FUF69 FKJ64:FKJ69 FAN64:FAN69 EQR64:EQR69 EGV64:EGV69 DWZ64:DWZ69 DND64:DND69 DDH64:DDH69 CTL64:CTL69 CJP64:CJP69 BZT64:BZT69 BPX64:BPX69 BGB64:BGB69 AWF64:AWF69 AMJ64:AMJ69 IV64:IV69 ACN64:ACN69 C58:C62 C47:C50 C36:C38 C23:C28 C17:C21 C30:C34 C40:C45 C52:C56 C5:C14 C64:C69 C271:C272 C274:C276 WLP223:WLP226 C223:C226 C218:C221 C164:C167 C161:C162 C157:C159 C185:C186 C179:C180 C173:C174 C169:C171 C176:C177 C182:C183 C151:C155 C193:C196 C188:C191 C198:C201 C208:C211 C203:C206 C213:C216 IZ208:IZ211 SV208:SV211 ACR208:ACR211 AMN208:AMN211 AWJ208:AWJ211 BGF208:BGF211 BQB208:BQB211 BZX208:BZX211 CJT208:CJT211 CTP208:CTP211 DDL208:DDL211 DNH208:DNH211 DXD208:DXD211 EGZ208:EGZ211 EQV208:EQV211 FAR208:FAR211 FKN208:FKN211 FUJ208:FUJ211 GEF208:GEF211 GOB208:GOB211 GXX208:GXX211 HHT208:HHT211 HRP208:HRP211 IBL208:IBL211 ILH208:ILH211 IVD208:IVD211 JEZ208:JEZ211 JOV208:JOV211 JYR208:JYR211 KIN208:KIN211 KSJ208:KSJ211 LCF208:LCF211 LMB208:LMB211 LVX208:LVX211 MFT208:MFT211 MPP208:MPP211 MZL208:MZL211 NJH208:NJH211 NTD208:NTD211 OCZ208:OCZ211 OMV208:OMV211 OWR208:OWR211 PGN208:PGN211 PQJ208:PQJ211 QAF208:QAF211 QKB208:QKB211 QTX208:QTX211 RDT208:RDT211 RNP208:RNP211 RXL208:RXL211 SHH208:SHH211 SRD208:SRD211 TAZ208:TAZ211 TKV208:TKV211 TUR208:TUR211 UEN208:UEN211 UOJ208:UOJ211 UYF208:UYF211 VIB208:VIB211 VRX208:VRX211 WBT208:WBT211 WLP208:WLP211 WVL208:WVL211 IZ198:IZ201 SV198:SV201 ACR198:ACR201 AMN198:AMN201 AWJ198:AWJ201 BGF198:BGF201 BQB198:BQB201 BZX198:BZX201 CJT198:CJT201 CTP198:CTP201 DDL198:DDL201 DNH198:DNH201 DXD198:DXD201 EGZ198:EGZ201 EQV198:EQV201 FAR198:FAR201 FKN198:FKN201 FUJ198:FUJ201 GEF198:GEF201 GOB198:GOB201 GXX198:GXX201 HHT198:HHT201 HRP198:HRP201 IBL198:IBL201 ILH198:ILH201 IVD198:IVD201 JEZ198:JEZ201 JOV198:JOV201 JYR198:JYR201 KIN198:KIN201 KSJ198:KSJ201 LCF198:LCF201 LMB198:LMB201 LVX198:LVX201 MFT198:MFT201 MPP198:MPP201 MZL198:MZL201 NJH198:NJH201 NTD198:NTD201 OCZ198:OCZ201 OMV198:OMV201 OWR198:OWR201 PGN198:PGN201 PQJ198:PQJ201 QAF198:QAF201 QKB198:QKB201 QTX198:QTX201 RDT198:RDT201 RNP198:RNP201 RXL198:RXL201 SHH198:SHH201 SRD198:SRD201 TAZ198:TAZ201 TKV198:TKV201 TUR198:TUR201 UEN198:UEN201 UOJ198:UOJ201 UYF198:UYF201 VIB198:VIB201 VRX198:VRX201 WBT198:WBT201 WLP198:WLP201 WVL198:WVL201 IZ188:IZ191 SV188:SV191 ACR188:ACR191 AMN188:AMN191 AWJ188:AWJ191 BGF188:BGF191 BQB188:BQB191 BZX188:BZX191 CJT188:CJT191 CTP188:CTP191 DDL188:DDL191 DNH188:DNH191 DXD188:DXD191 EGZ188:EGZ191 EQV188:EQV191 FAR188:FAR191 FKN188:FKN191 FUJ188:FUJ191 GEF188:GEF191 GOB188:GOB191 GXX188:GXX191 HHT188:HHT191 HRP188:HRP191 IBL188:IBL191 ILH188:ILH191 IVD188:IVD191 JEZ188:JEZ191 JOV188:JOV191 JYR188:JYR191 KIN188:KIN191 KSJ188:KSJ191 LCF188:LCF191 LMB188:LMB191 LVX188:LVX191 MFT188:MFT191 MPP188:MPP191 MZL188:MZL191 NJH188:NJH191 NTD188:NTD191 OCZ188:OCZ191 OMV188:OMV191 OWR188:OWR191 PGN188:PGN191 PQJ188:PQJ191 QAF188:QAF191 QKB188:QKB191 QTX188:QTX191 RDT188:RDT191 RNP188:RNP191 RXL188:RXL191 SHH188:SHH191 SRD188:SRD191 TAZ188:TAZ191 TKV188:TKV191 TUR188:TUR191 UEN188:UEN191 UOJ188:UOJ191 UYF188:UYF191 VIB188:VIB191 VRX188:VRX191 WBT188:WBT191 WLP188:WLP191 WVL188:WVL191 WVL193:WVL196 WLP193:WLP196 WBT193:WBT196 VRX193:VRX196 VIB193:VIB196 UYF193:UYF196 UOJ193:UOJ196 UEN193:UEN196 TUR193:TUR196 TKV193:TKV196 TAZ193:TAZ196 SRD193:SRD196 SHH193:SHH196 RXL193:RXL196 RNP193:RNP196 RDT193:RDT196 QTX193:QTX196 QKB193:QKB196 QAF193:QAF196 PQJ193:PQJ196 PGN193:PGN196 OWR193:OWR196 OMV193:OMV196 OCZ193:OCZ196 NTD193:NTD196 NJH193:NJH196 MZL193:MZL196 MPP193:MPP196 MFT193:MFT196 LVX193:LVX196 LMB193:LMB196 LCF193:LCF196 KSJ193:KSJ196 KIN193:KIN196 JYR193:JYR196 JOV193:JOV196 JEZ193:JEZ196 IVD193:IVD196 ILH193:ILH196 IBL193:IBL196 HRP193:HRP196 HHT193:HHT196 GXX193:GXX196 GOB193:GOB196 GEF193:GEF196 FUJ193:FUJ196 FKN193:FKN196 FAR193:FAR196 EQV193:EQV196 EGZ193:EGZ196 DXD193:DXD196 DNH193:DNH196 DDL193:DDL196 CTP193:CTP196 CJT193:CJT196 BZX193:BZX196 BQB193:BQB196 BGF193:BGF196 AWJ193:AWJ196 AMN193:AMN196 ACR193:ACR196 SV193:SV196 IZ193:IZ196 WVL203:WVL206 WLP203:WLP206 WBT203:WBT206 VRX203:VRX206 VIB203:VIB206 UYF203:UYF206 UOJ203:UOJ206 UEN203:UEN206 TUR203:TUR206 TKV203:TKV206 TAZ203:TAZ206 SRD203:SRD206 SHH203:SHH206 RXL203:RXL206 RNP203:RNP206 RDT203:RDT206 QTX203:QTX206 QKB203:QKB206 QAF203:QAF206 PQJ203:PQJ206 PGN203:PGN206 OWR203:OWR206 OMV203:OMV206 OCZ203:OCZ206 NTD203:NTD206 NJH203:NJH206 MZL203:MZL206 MPP203:MPP206 MFT203:MFT206 LVX203:LVX206 LMB203:LMB206 LCF203:LCF206 KSJ203:KSJ206 KIN203:KIN206 JYR203:JYR206 JOV203:JOV206 JEZ203:JEZ206 IVD203:IVD206 ILH203:ILH206 IBL203:IBL206 HRP203:HRP206 HHT203:HHT206 GXX203:GXX206 GOB203:GOB206 GEF203:GEF206 FUJ203:FUJ206 FKN203:FKN206 FAR203:FAR206 EQV203:EQV206 EGZ203:EGZ206 DXD203:DXD206 DNH203:DNH206 DDL203:DDL206 CTP203:CTP206 CJT203:CJT206 BZX203:BZX206 BQB203:BQB206 BGF203:BGF206 AWJ203:AWJ206 AMN203:AMN206 ACR203:ACR206 SV203:SV206 IZ203:IZ206 WVL213:WVL216 WLP213:WLP216 WBT213:WBT216 VRX213:VRX216 VIB213:VIB216 UYF213:UYF216 UOJ213:UOJ216 UEN213:UEN216 TUR213:TUR216 TKV213:TKV216 TAZ213:TAZ216 SRD213:SRD216 SHH213:SHH216 RXL213:RXL216 RNP213:RNP216 RDT213:RDT216 QTX213:QTX216 QKB213:QKB216 QAF213:QAF216 PQJ213:PQJ216 PGN213:PGN216 OWR213:OWR216 OMV213:OMV216 OCZ213:OCZ216 NTD213:NTD216 NJH213:NJH216 MZL213:MZL216 MPP213:MPP216 MFT213:MFT216 LVX213:LVX216 LMB213:LMB216 LCF213:LCF216 KSJ213:KSJ216 KIN213:KIN216 JYR213:JYR216 JOV213:JOV216 JEZ213:JEZ216 IVD213:IVD216 ILH213:ILH216 IBL213:IBL216 HRP213:HRP216 HHT213:HHT216 GXX213:GXX216 GOB213:GOB216 GEF213:GEF216 FUJ213:FUJ216 FKN213:FKN216 FAR213:FAR216 EQV213:EQV216 EGZ213:EGZ216 DXD213:DXD216 DNH213:DNH216 DDL213:DDL216 CTP213:CTP216 CJT213:CJT216 BZX213:BZX216 BQB213:BQB216 BGF213:BGF216 AWJ213:AWJ216 AMN213:AMN216 ACR213:ACR216 SV213:SV216 IZ213:IZ216 IZ164:IZ167 SV164:SV167 IZ182:IZ183 SV182:SV183 ACR182:ACR183 AMN182:AMN183 AWJ182:AWJ183 BGF182:BGF183 BQB182:BQB183 BZX182:BZX183 CJT182:CJT183 CTP182:CTP183 DDL182:DDL183 DNH182:DNH183 DXD182:DXD183 EGZ182:EGZ183 EQV182:EQV183 FAR182:FAR183 FKN182:FKN183 FUJ182:FUJ183 GEF182:GEF183 GOB182:GOB183 GXX182:GXX183 HHT182:HHT183 HRP182:HRP183 IBL182:IBL183 ILH182:ILH183 IVD182:IVD183 JEZ182:JEZ183 JOV182:JOV183 JYR182:JYR183 KIN182:KIN183 KSJ182:KSJ183 LCF182:LCF183 LMB182:LMB183 LVX182:LVX183 MFT182:MFT183 MPP182:MPP183 MZL182:MZL183 NJH182:NJH183 NTD182:NTD183 OCZ182:OCZ183 OMV182:OMV183 OWR182:OWR183 PGN182:PGN183 PQJ182:PQJ183 QAF182:QAF183 QKB182:QKB183 QTX182:QTX183 RDT182:RDT183 RNP182:RNP183 RXL182:RXL183 SHH182:SHH183 SRD182:SRD183 TAZ182:TAZ183 TKV182:TKV183 TUR182:TUR183 UEN182:UEN183 UOJ182:UOJ183 UYF182:UYF183 VIB182:VIB183 VRX182:VRX183 WBT182:WBT183 WLP182:WLP183 WVL182:WVL183 IZ176:IZ177 SV176:SV177 ACR176:ACR177 AMN176:AMN177 AWJ176:AWJ177 BGF176:BGF177 BQB176:BQB177 BZX176:BZX177 CJT176:CJT177 CTP176:CTP177 DDL176:DDL177 DNH176:DNH177 DXD176:DXD177 EGZ176:EGZ177 EQV176:EQV177 FAR176:FAR177 FKN176:FKN177 FUJ176:FUJ177 GEF176:GEF177 GOB176:GOB177 GXX176:GXX177 HHT176:HHT177 HRP176:HRP177 IBL176:IBL177 ILH176:ILH177 IVD176:IVD177 JEZ176:JEZ177 JOV176:JOV177 JYR176:JYR177 KIN176:KIN177 KSJ176:KSJ177 LCF176:LCF177 LMB176:LMB177 LVX176:LVX177 MFT176:MFT177 MPP176:MPP177 MZL176:MZL177 NJH176:NJH177 NTD176:NTD177 OCZ176:OCZ177 OMV176:OMV177 OWR176:OWR177 PGN176:PGN177 PQJ176:PQJ177 QAF176:QAF177 QKB176:QKB177 QTX176:QTX177 RDT176:RDT177 RNP176:RNP177 RXL176:RXL177 SHH176:SHH177 SRD176:SRD177 TAZ176:TAZ177 TKV176:TKV177 TUR176:TUR177 UEN176:UEN177 UOJ176:UOJ177 UYF176:UYF177 VIB176:VIB177 VRX176:VRX177 WBT176:WBT177 WLP176:WLP177 WVL176:WVL177 IZ169:IZ171 SV169:SV171 ACR169:ACR171 AMN169:AMN171 AWJ169:AWJ171 BGF169:BGF171 BQB169:BQB171 BZX169:BZX171 CJT169:CJT171 CTP169:CTP171 DDL169:DDL171 DNH169:DNH171 DXD169:DXD171 EGZ169:EGZ171 EQV169:EQV171 FAR169:FAR171 FKN169:FKN171 FUJ169:FUJ171 GEF169:GEF171 GOB169:GOB171 GXX169:GXX171 HHT169:HHT171 HRP169:HRP171 IBL169:IBL171 ILH169:ILH171 IVD169:IVD171 JEZ169:JEZ171 JOV169:JOV171 JYR169:JYR171 KIN169:KIN171 KSJ169:KSJ171 LCF169:LCF171 LMB169:LMB171 LVX169:LVX171 MFT169:MFT171 MPP169:MPP171 MZL169:MZL171 NJH169:NJH171 NTD169:NTD171 OCZ169:OCZ171 OMV169:OMV171 OWR169:OWR171 PGN169:PGN171 PQJ169:PQJ171 QAF169:QAF171 QKB169:QKB171 QTX169:QTX171 RDT169:RDT171 RNP169:RNP171 RXL169:RXL171 SHH169:SHH171 SRD169:SRD171 TAZ169:TAZ171 TKV169:TKV171 TUR169:TUR171 UEN169:UEN171 UOJ169:UOJ171 UYF169:UYF171 VIB169:VIB171 VRX169:VRX171 WBT169:WBT171 WLP169:WLP171 WVL169:WVL171 WVL173:WVL174 WLP173:WLP174 WBT173:WBT174 VRX173:VRX174 VIB173:VIB174 UYF173:UYF174 UOJ173:UOJ174 UEN173:UEN174 TUR173:TUR174 TKV173:TKV174 TAZ173:TAZ174 SRD173:SRD174 SHH173:SHH174 RXL173:RXL174 RNP173:RNP174 RDT173:RDT174 QTX173:QTX174 QKB173:QKB174 QAF173:QAF174 PQJ173:PQJ174 PGN173:PGN174 OWR173:OWR174 OMV173:OMV174 OCZ173:OCZ174 NTD173:NTD174 NJH173:NJH174 MZL173:MZL174 MPP173:MPP174 MFT173:MFT174 LVX173:LVX174 LMB173:LMB174 LCF173:LCF174 KSJ173:KSJ174 KIN173:KIN174 JYR173:JYR174 JOV173:JOV174 JEZ173:JEZ174 IVD173:IVD174 ILH173:ILH174 IBL173:IBL174 HRP173:HRP174 HHT173:HHT174 GXX173:GXX174 GOB173:GOB174 GEF173:GEF174 FUJ173:FUJ174 FKN173:FKN174 FAR173:FAR174 EQV173:EQV174 EGZ173:EGZ174 DXD173:DXD174 DNH173:DNH174 DDL173:DDL174 CTP173:CTP174 CJT173:CJT174 BZX173:BZX174 BQB173:BQB174 BGF173:BGF174 AWJ173:AWJ174 AMN173:AMN174 ACR173:ACR174 SV173:SV174 IZ173:IZ174 WVL179:WVL180 WLP179:WLP180 WBT179:WBT180 VRX179:VRX180 VIB179:VIB180 UYF179:UYF180 UOJ179:UOJ180 UEN179:UEN180 TUR179:TUR180 TKV179:TKV180 TAZ179:TAZ180 SRD179:SRD180 SHH179:SHH180 RXL179:RXL180 RNP179:RNP180 RDT179:RDT180 QTX179:QTX180 QKB179:QKB180 QAF179:QAF180 PQJ179:PQJ180 PGN179:PGN180 OWR179:OWR180 OMV179:OMV180 OCZ179:OCZ180 NTD179:NTD180 NJH179:NJH180 MZL179:MZL180 MPP179:MPP180 MFT179:MFT180 LVX179:LVX180 LMB179:LMB180 LCF179:LCF180 KSJ179:KSJ180 KIN179:KIN180 JYR179:JYR180 JOV179:JOV180 JEZ179:JEZ180 IVD179:IVD180 ILH179:ILH180 IBL179:IBL180 HRP179:HRP180 HHT179:HHT180 GXX179:GXX180 GOB179:GOB180 GEF179:GEF180 FUJ179:FUJ180 FKN179:FKN180 FAR179:FAR180 EQV179:EQV180 EGZ179:EGZ180 DXD179:DXD180 DNH179:DNH180 DDL179:DDL180 CTP179:CTP180 CJT179:CJT180 BZX179:BZX180 BQB179:BQB180 BGF179:BGF180 AWJ179:AWJ180 AMN179:AMN180 ACR179:ACR180 SV179:SV180 IZ179:IZ180 WVL185:WVL186 WLP185:WLP186 WBT185:WBT186 VRX185:VRX186 VIB185:VIB186 UYF185:UYF186 UOJ185:UOJ186 UEN185:UEN186 TUR185:TUR186 TKV185:TKV186 TAZ185:TAZ186 SRD185:SRD186 SHH185:SHH186 RXL185:RXL186 RNP185:RNP186 RDT185:RDT186 QTX185:QTX186 QKB185:QKB186 QAF185:QAF186 PQJ185:PQJ186 PGN185:PGN186 OWR185:OWR186 OMV185:OMV186 OCZ185:OCZ186 NTD185:NTD186 NJH185:NJH186 MZL185:MZL186 MPP185:MPP186 MFT185:MFT186 LVX185:LVX186 LMB185:LMB186 LCF185:LCF186 KSJ185:KSJ186 KIN185:KIN186 JYR185:JYR186 JOV185:JOV186 JEZ185:JEZ186 IVD185:IVD186 ILH185:ILH186 IBL185:IBL186 HRP185:HRP186 HHT185:HHT186 GXX185:GXX186 GOB185:GOB186 GEF185:GEF186 FUJ185:FUJ186 FKN185:FKN186 FAR185:FAR186 EQV185:EQV186 EGZ185:EGZ186 DXD185:DXD186 DNH185:DNH186 DDL185:DDL186 CTP185:CTP186 CJT185:CJT186 BZX185:BZX186 BQB185:BQB186 BGF185:BGF186 AWJ185:AWJ186 AMN185:AMN186 ACR185:ACR186 SV185:SV186 IZ185:IZ186 IZ161:IZ162 SV161:SV162 ACR161:ACR162 AMN161:AMN162 AWJ161:AWJ162 BGF161:BGF162 BQB161:BQB162 BZX161:BZX162 CJT161:CJT162 CTP161:CTP162 DDL161:DDL162 DNH161:DNH162 DXD161:DXD162 EGZ161:EGZ162 EQV161:EQV162 FAR161:FAR162 FKN161:FKN162 FUJ161:FUJ162 GEF161:GEF162 GOB161:GOB162 GXX161:GXX162 HHT161:HHT162 HRP161:HRP162 IBL161:IBL162 ILH161:ILH162 IVD161:IVD162 JEZ161:JEZ162 JOV161:JOV162 JYR161:JYR162 KIN161:KIN162 KSJ161:KSJ162 LCF161:LCF162 LMB161:LMB162 LVX161:LVX162 MFT161:MFT162 MPP161:MPP162 MZL161:MZL162 NJH161:NJH162 NTD161:NTD162 OCZ161:OCZ162 OMV161:OMV162 OWR161:OWR162 PGN161:PGN162 PQJ161:PQJ162 QAF161:QAF162 QKB161:QKB162 QTX161:QTX162 RDT161:RDT162 RNP161:RNP162 RXL161:RXL162 SHH161:SHH162 SRD161:SRD162 TAZ161:TAZ162 TKV161:TKV162 TUR161:TUR162 UEN161:UEN162 UOJ161:UOJ162 UYF161:UYF162 VIB161:VIB162 VRX161:VRX162 WBT161:WBT162 WLP161:WLP162 WVL161:WVL162 WVL164:WVL167 WLP164:WLP167 WBT164:WBT167 VRX164:VRX167 VIB164:VIB167 UYF164:UYF167 UOJ164:UOJ167 UEN164:UEN167 TUR164:TUR167 TKV164:TKV167 TAZ164:TAZ167 SRD164:SRD167 SHH164:SHH167 RXL164:RXL167 RNP164:RNP167 RDT164:RDT167 QTX164:QTX167 QKB164:QKB167 QAF164:QAF167 PQJ164:PQJ167 PGN164:PGN167 OWR164:OWR167 OMV164:OMV167 OCZ164:OCZ167 NTD164:NTD167 NJH164:NJH167 MZL164:MZL167 MPP164:MPP167 MFT164:MFT167 LVX164:LVX167 LMB164:LMB167 LCF164:LCF167 KSJ164:KSJ167 KIN164:KIN167 JYR164:JYR167 JOV164:JOV167 JEZ164:JEZ167 IVD164:IVD167 ILH164:ILH167 IBL164:IBL167 HRP164:HRP167 HHT164:HHT167 GXX164:GXX167 GOB164:GOB167 GEF164:GEF167 FUJ164:FUJ167 FKN164:FKN167 FAR164:FAR167 EQV164:EQV167 EGZ164:EGZ167 DXD164:DXD167 DNH164:DNH167 DDL164:DDL167 CTP164:CTP167 CJT164:CJT167 BZX164:BZX167 BQB164:BQB167 BGF164:BGF167 AWJ164:AWJ167 AMN164:AMN167 ACR164:ACR167 SV218:SV221 ACR218:ACR221 AMN218:AMN221 AWJ218:AWJ221 BGF218:BGF221 BQB218:BQB221 BZX218:BZX221 CJT218:CJT221 CTP218:CTP221 DDL218:DDL221 DNH218:DNH221 DXD218:DXD221 EGZ218:EGZ221 EQV218:EQV221 FAR218:FAR221 FKN218:FKN221 FUJ218:FUJ221 GEF218:GEF221 GOB218:GOB221 GXX218:GXX221 HHT218:HHT221 HRP218:HRP221 IBL218:IBL221 ILH218:ILH221 IVD218:IVD221 JEZ218:JEZ221 JOV218:JOV221 JYR218:JYR221 KIN218:KIN221 KSJ218:KSJ221 LCF218:LCF221 LMB218:LMB221 LVX218:LVX221 MFT218:MFT221 MPP218:MPP221 MZL218:MZL221 NJH218:NJH221 NTD218:NTD221 OCZ218:OCZ221 OMV218:OMV221 OWR218:OWR221 PGN218:PGN221 PQJ218:PQJ221 QAF218:QAF221 QKB218:QKB221 QTX218:QTX221 RDT218:RDT221 RNP218:RNP221 RXL218:RXL221 SHH218:SHH221 SRD218:SRD221 TAZ218:TAZ221 TKV218:TKV221 TUR218:TUR221 UEN218:UEN221 UOJ218:UOJ221 UYF218:UYF221 VIB218:VIB221 VRX218:VRX221 WBT218:WBT221 WLP218:WLP221 WVL218:WVL221 WVL228:WVL231 WLP228:WLP231 WBT228:WBT231 VRX228:VRX231 VIB228:VIB231 UYF228:UYF231 UOJ228:UOJ231 UEN228:UEN231 TUR228:TUR231 TKV228:TKV231 TAZ228:TAZ231 SRD228:SRD231 SHH228:SHH231 RXL228:RXL231 RNP228:RNP231 RDT228:RDT231 QTX228:QTX231 QKB228:QKB231 QAF228:QAF231 PQJ228:PQJ231 PGN228:PGN231 OWR228:OWR231 OMV228:OMV231 OCZ228:OCZ231 NTD228:NTD231 NJH228:NJH231 MZL228:MZL231 MPP228:MPP231 MFT228:MFT231 LVX228:LVX231 LMB228:LMB231 LCF228:LCF231 KSJ228:KSJ231 KIN228:KIN231 JYR228:JYR231 JOV228:JOV231 JEZ228:JEZ231 IVD228:IVD231 ILH228:ILH231 IBL228:IBL231 HRP228:HRP231 HHT228:HHT231 GXX228:GXX231 GOB228:GOB231 GEF228:GEF231 FUJ228:FUJ231 FKN228:FKN231 FAR228:FAR231 EQV228:EQV231 EGZ228:EGZ231 DXD228:DXD231 DNH228:DNH231 DDL228:DDL231 CTP228:CTP231 CJT228:CJT231 BZX228:BZX231 BQB228:BQB231 BGF228:BGF231 AWJ228:AWJ231 AMN228:AMN231 ACR228:ACR231 SV228:SV231 IZ228:IZ231 IZ218:IZ221 IZ223:IZ226 SV223:SV226 ACR223:ACR226 AMN223:AMN226 AWJ223:AWJ226 BGF223:BGF226 BQB223:BQB226 BZX223:BZX226 CJT223:CJT226 CTP223:CTP226 DDL223:DDL226 DNH223:DNH226 DXD223:DXD226 EGZ223:EGZ226 EQV223:EQV226 FAR223:FAR226 FKN223:FKN226 FUJ223:FUJ226 GEF223:GEF226 GOB223:GOB226 GXX223:GXX226 HHT223:HHT226 HRP223:HRP226 IBL223:IBL226 ILH223:ILH226 IVD223:IVD226 JEZ223:JEZ226 JOV223:JOV226 JYR223:JYR226 KIN223:KIN226 KSJ223:KSJ226 LCF223:LCF226 LMB223:LMB226 LVX223:LVX226 MFT223:MFT226 MPP223:MPP226 MZL223:MZL226 NJH223:NJH226 NTD223:NTD226 OCZ223:OCZ226 OMV223:OMV226 OWR223:OWR226 PGN223:PGN226 PQJ223:PQJ226 QAF223:QAF226 QKB223:QKB226 QTX223:QTX226 RDT223:RDT226 RNP223:RNP226 RXL223:RXL226 SHH223:SHH226 SRD223:SRD226 TAZ223:TAZ226 TKV223:TKV226 TUR223:TUR226 UEN223:UEN226 UOJ223:UOJ226 UYF223:UYF226 VIB223:VIB226 VRX223:VRX226 WBT223:WBT226 C228:C231 C233:C239 C241 C243 C248:C253 WVL223:WVL226 C245:C246 C255:C269 C313:C319 C308:C311 C321:C323 C301:C306 C286:C292 C281:C284 C294:C299 WLP321:WLP323 WBT321:WBT323 VRX321:VRX323 VIB321:VIB323 UYF321:UYF323 UOJ321:UOJ323 UEN321:UEN323 TUR321:TUR323 TKV321:TKV323 TAZ321:TAZ323 SRD321:SRD323 SHH321:SHH323 RXL321:RXL323 RNP321:RNP323 RDT321:RDT323 QTX321:QTX323 QKB321:QKB323 QAF321:QAF323 PQJ321:PQJ323 PGN321:PGN323 OWR321:OWR323 OMV321:OMV323 OCZ321:OCZ323 NTD321:NTD323 NJH321:NJH323 MZL321:MZL323 MPP321:MPP323 MFT321:MFT323 LVX321:LVX323 LMB321:LMB323 LCF321:LCF323 KSJ321:KSJ323 KIN321:KIN323 JYR321:JYR323 JOV321:JOV323 JEZ321:JEZ323 IVD321:IVD323 ILH321:ILH323 IBL321:IBL323 HRP321:HRP323 HHT321:HHT323 GXX321:GXX323 GOB321:GOB323 GEF321:GEF323 FUJ321:FUJ323 FKN321:FKN323 FAR321:FAR323 EQV321:EQV323 EGZ321:EGZ323 DXD321:DXD323 DNH321:DNH323 DDL321:DDL323 CTP321:CTP323 CJT321:CJT323 BZX321:BZX323 BQB321:BQB323 BGF321:BGF323 AWJ321:AWJ323 AMN321:AMN323 ACR321:ACR323 SV321:SV323 IZ321:IZ323 WVL314:WVL319 WLP314:WLP319 WBT314:WBT319 VRX314:VRX319 VIB314:VIB319 UYF314:UYF319 UOJ314:UOJ319 UEN314:UEN319 TUR314:TUR319 TKV314:TKV319 TAZ314:TAZ319 SRD314:SRD319 SHH314:SHH319 RXL314:RXL319 RNP314:RNP319 RDT314:RDT319 QTX314:QTX319 QKB314:QKB319 QAF314:QAF319 PQJ314:PQJ319 PGN314:PGN319 OWR314:OWR319 OMV314:OMV319 OCZ314:OCZ319 NTD314:NTD319 NJH314:NJH319 MZL314:MZL319 MPP314:MPP319 MFT314:MFT319 LVX314:LVX319 LMB314:LMB319 LCF314:LCF319 KSJ314:KSJ319 KIN314:KIN319 JYR314:JYR319 JOV314:JOV319 JEZ314:JEZ319 IVD314:IVD319 ILH314:ILH319 IBL314:IBL319 HRP314:HRP319 HHT314:HHT319 GXX314:GXX319 GOB314:GOB319 GEF314:GEF319 FUJ314:FUJ319 FKN314:FKN319 FAR314:FAR319 EQV314:EQV319 EGZ314:EGZ319 DXD314:DXD319 DNH314:DNH319 DDL314:DDL319 CTP314:CTP319 CJT314:CJT319 BZX314:BZX319 BQB314:BQB319 BGF314:BGF319 AWJ314:AWJ319 AMN314:AMN319 ACR314:ACR319 SV314:SV319 IZ314:IZ319 WVL321:WVL323 C367:C375 C377:C380 C358:C365 C350:C353 C328:C335 C337:C348 C355:C356 C432 C423 C425:C430 C403:C406 C412:C421 C385:C386 C393:C394 C388:C391 C396:C401 C408:C410 C475:C485 C468:C473 C437:C460 C462:C466 C506:C512 C514:C520 C490:C496 C498:C504">
      <formula1>TestCaseStatus</formula1>
    </dataValidation>
    <dataValidation type="list" allowBlank="1" showInputMessage="1" showErrorMessage="1" errorTitle="Wrong input status" error="Please choose one input status from the list_x000a_" sqref="WVH16 IV16 SR16 ACN16 AMJ16 AWF16 BGB16 BPX16 BZT16 CJP16 CTL16 DDH16 DND16 DWZ16 EGV16 EQR16 FAN16 FKJ16 FUF16 GEB16 GNX16 GXT16 HHP16 HRL16 IBH16 ILD16 IUZ16 JEV16 JOR16 JYN16 KIJ16 KSF16 LCB16 LLX16 LVT16 MFP16 MPL16 MZH16 NJD16 NSZ16 OCV16 OMR16 OWN16 PGJ16 PQF16 QAB16 QJX16 QTT16 RDP16 RNL16 RXH16 SHD16 SQZ16 TAV16 TKR16 TUN16 UEJ16 UOF16 UYB16 VHX16 VRT16 WBP16 WLL16 C16">
      <formula1>TestCaseStatus</formula1>
    </dataValidation>
  </dataValidations>
  <hyperlinks>
    <hyperlink ref="A5" r:id="rId1" tooltip="Click to open work item: TFS#19547" display="https://tfs.lmkr.net/tfs/DefaultCollection/LMKR/_workitems/edit/19547"/>
    <hyperlink ref="A25" r:id="rId2" tooltip="Click to open work item: TFS#19354" display="https://tfs.lmkr.net/tfs/DefaultCollection/LMKR/_workitems/edit/19354"/>
    <hyperlink ref="A26" r:id="rId3" tooltip="Click to open work item: TFS#19359" display="https://tfs.lmkr.net/tfs/DefaultCollection/LMKR/_workitems/edit/19359"/>
    <hyperlink ref="A27" r:id="rId4" tooltip="Click to open work item: TFS#19341" display="https://tfs.lmkr.net/tfs/DefaultCollection/LMKR/_workitems/edit/19341"/>
    <hyperlink ref="A28" r:id="rId5" tooltip="Click to open work item: TFS#19349" display="https://tfs.lmkr.net/tfs/DefaultCollection/LMKR/_workitems/edit/19349"/>
    <hyperlink ref="A30" r:id="rId6" tooltip="Click to open work item: TFS#19361" display="https://tfs.lmkr.net/tfs/DefaultCollection/LMKR/_workitems/edit/19361"/>
    <hyperlink ref="A31" r:id="rId7" tooltip="Click to open work item: TFS#19351" display="https://tfs.lmkr.net/tfs/DefaultCollection/LMKR/_workitems/edit/19351"/>
    <hyperlink ref="A32" r:id="rId8" tooltip="Click to open work item: TFS#19356" display="https://tfs.lmkr.net/tfs/DefaultCollection/LMKR/_workitems/edit/19356"/>
    <hyperlink ref="A34" r:id="rId9" tooltip="Click to open work item: TFS#19360" display="https://tfs.lmkr.net/tfs/DefaultCollection/LMKR/_workitems/edit/19360"/>
    <hyperlink ref="A36" r:id="rId10" tooltip="Click to open work item: TFS#19362" display="https://tfs.lmkr.net/tfs/DefaultCollection/LMKR/_workitems/edit/19362"/>
    <hyperlink ref="A38" r:id="rId11" tooltip="Click to open work item: TFS#19343" display="https://tfs.lmkr.net/tfs/DefaultCollection/LMKR/_workitems/edit/19343"/>
    <hyperlink ref="A40" r:id="rId12" tooltip="Click to open work item: TFS#19348" display="https://tfs.lmkr.net/tfs/DefaultCollection/LMKR/_workitems/edit/19348"/>
    <hyperlink ref="A41" r:id="rId13" tooltip="Click to open work item: TFS#20181" display="https://tfs.lmkr.net/tfs/DefaultCollection/LMKR/_workitems/edit/20181"/>
    <hyperlink ref="A45" r:id="rId14" tooltip="Click to open work item: TFS#19350" display="https://tfs.lmkr.net/tfs/DefaultCollection/LMKR/_workitems/edit/19350"/>
    <hyperlink ref="A47" r:id="rId15" tooltip="Click to open work item: TFS#19357" display="https://tfs.lmkr.net/tfs/DefaultCollection/LMKR/_workitems/edit/19357"/>
    <hyperlink ref="A48" r:id="rId16" tooltip="Click to open work item: TFS#19366" display="https://tfs.lmkr.net/tfs/DefaultCollection/LMKR/_workitems/edit/19366"/>
    <hyperlink ref="A49" r:id="rId17" tooltip="Click to open work item: TFS#19344" display="https://tfs.lmkr.net/tfs/DefaultCollection/LMKR/_workitems/edit/19344"/>
    <hyperlink ref="A50" r:id="rId18" tooltip="Click to open work item: TFS#20328" display="https://tfs.lmkr.net/tfs/DefaultCollection/LMKR/_workitems/edit/20328"/>
    <hyperlink ref="A58" r:id="rId19" tooltip="Click to open work item: TFS#20324" display="https://tfs.lmkr.net/tfs/DefaultCollection/LMKR/_workitems/edit/20324"/>
    <hyperlink ref="A59" r:id="rId20" tooltip="Click to open work item: TFS#20325" display="https://tfs.lmkr.net/tfs/DefaultCollection/LMKR/_workitems/edit/20325"/>
    <hyperlink ref="A60" r:id="rId21" tooltip="Click to open work item: TFS#20326" display="https://tfs.lmkr.net/tfs/DefaultCollection/LMKR/_workitems/edit/20326"/>
    <hyperlink ref="A61" r:id="rId22" tooltip="Click to open work item: TFS#20327" display="https://tfs.lmkr.net/tfs/DefaultCollection/LMKR/_workitems/edit/20327"/>
    <hyperlink ref="A62" r:id="rId23" tooltip="Click to open work item: TFS#21169" display="https://tfs.lmkr.net/tfs/DefaultCollection/LMKR/_workitems/edit/21169"/>
    <hyperlink ref="A43" r:id="rId24" tooltip="Click to open work item: TFS#28806" display="https://tfs.lmkr.net/tfs/DefaultCollection/LMKR/_workitems/edit/28806"/>
    <hyperlink ref="A42" r:id="rId25" tooltip="Click to open work item: TFS#20182" display="https://tfs.lmkr.net/tfs/DefaultCollection/LMKR/_workitems/edit/20182"/>
    <hyperlink ref="A33" r:id="rId26" tooltip="Click to open work item: TFS#21126" display="https://tfs.lmkr.net/tfs/DefaultCollection/LMKR/_workitems/edit/21126"/>
    <hyperlink ref="A52" r:id="rId27" tooltip="Click to open work item: TFS#27019" display="https://tfs.lmkr.net/tfs/DefaultCollection/LMKR/_workitems/edit/27019"/>
    <hyperlink ref="A55" r:id="rId28" tooltip="Click to open work item: TFS#20333" display="https://tfs.lmkr.net/tfs/DefaultCollection/LMKR/_workitems/edit/20333"/>
    <hyperlink ref="A56" r:id="rId29" tooltip="Click to open work item: TFS#21179" display="https://tfs.lmkr.net/tfs/DefaultCollection/LMKR/_workitems/edit/21179"/>
    <hyperlink ref="A54" r:id="rId30" tooltip="Click to open work item: TFS#20221" display="https://tfs.lmkr.net/tfs/DefaultCollection/LMKR/_workitems/edit/20221"/>
    <hyperlink ref="A53" r:id="rId31" tooltip="Click to open work item: TFS#29490" display="https://tfs.lmkr.net/tfs/DefaultCollection/LMKR/_workitems/edit/29490"/>
    <hyperlink ref="A64" r:id="rId32" tooltip="Click to open work item: TFS#19390" display="https://tfs.lmkr.net/tfs/DefaultCollection/LMKR/_workitems/edit/19390"/>
    <hyperlink ref="A65" r:id="rId33" tooltip="Click to open work item: TFS#19493" display="https://tfs.lmkr.net/tfs/DefaultCollection/LMKR/_workitems/edit/19493"/>
    <hyperlink ref="A66" r:id="rId34" tooltip="Click to open work item: TFS#20268" display="https://tfs.lmkr.net/tfs/DefaultCollection/LMKR/_workitems/edit/20268"/>
    <hyperlink ref="A67" r:id="rId35" tooltip="Click to open work item: TFS#20267" display="https://tfs.lmkr.net/tfs/DefaultCollection/LMKR/_workitems/edit/20267"/>
    <hyperlink ref="A68" r:id="rId36" tooltip="Click to open work item: TFS#20272" display="https://tfs.lmkr.net/tfs/DefaultCollection/LMKR/_workitems/edit/20272"/>
    <hyperlink ref="A69" r:id="rId37" tooltip="Click to open work item: TFS#21178" display="https://tfs.lmkr.net/tfs/DefaultCollection/LMKR/_workitems/edit/21178"/>
    <hyperlink ref="A37" r:id="rId38" tooltip="Click to open work item: TFS#19558" display="https://tfs.lmkr.net/tfs/DefaultCollection/LMKR/_workitems/edit/19558"/>
    <hyperlink ref="A44" r:id="rId39" tooltip="Click to open work item: TFS#19342" display="https://tfs.lmkr.net/tfs/DefaultCollection/LMKR/_workitems/edit/19342"/>
    <hyperlink ref="A71" r:id="rId40" tooltip="Click to open work item: TFS#19547" display="https://tfs.lmkr.net/tfs/DefaultCollection/LMKR/_workitems/edit/19547"/>
    <hyperlink ref="A72" r:id="rId41" tooltip="Click to open work item: TFS#19548" display="https://tfs.lmkr.net/tfs/DefaultCollection/LMKR/_workitems/edit/19548"/>
    <hyperlink ref="A73" r:id="rId42" tooltip="Click to open work item: TFS#19549" display="https://tfs.lmkr.net/tfs/DefaultCollection/LMKR/_workitems/edit/19549"/>
    <hyperlink ref="A74" r:id="rId43" tooltip="Click to open work item: TFS#19550" display="https://tfs.lmkr.net/tfs/DefaultCollection/LMKR/_workitems/edit/19550"/>
    <hyperlink ref="A75" r:id="rId44" tooltip="Click to open work item: TFS#19551" display="https://tfs.lmkr.net/tfs/DefaultCollection/LMKR/_workitems/edit/19551"/>
    <hyperlink ref="A76" r:id="rId45" tooltip="Click to open work item: TFS#19552" display="https://tfs.lmkr.net/tfs/DefaultCollection/LMKR/_workitems/edit/19552"/>
    <hyperlink ref="A77" r:id="rId46" tooltip="Click to open work item: TFS#19553" display="https://tfs.lmkr.net/tfs/DefaultCollection/LMKR/_workitems/edit/19553"/>
    <hyperlink ref="A78" r:id="rId47" tooltip="Click to open work item: TFS#19554" display="https://tfs.lmkr.net/tfs/DefaultCollection/LMKR/_workitems/edit/19554"/>
    <hyperlink ref="A79" r:id="rId48" tooltip="Click to open work item: TFS#19555" display="https://tfs.lmkr.net/tfs/DefaultCollection/LMKR/_workitems/edit/19555"/>
    <hyperlink ref="A80" r:id="rId49" tooltip="Click to open work item: TFS#19556" display="https://tfs.lmkr.net/tfs/DefaultCollection/LMKR/_workitems/edit/19556"/>
    <hyperlink ref="A82" r:id="rId50" tooltip="Click to open work item: TFS#19717" display="https://tfs.lmkr.net/tfs/DefaultCollection/LMKR/_workitems/edit/19717"/>
    <hyperlink ref="A83" r:id="rId51" tooltip="Click to open work item: TFS#19355" display="https://tfs.lmkr.net/tfs/DefaultCollection/LMKR/_workitems/edit/19355"/>
    <hyperlink ref="A84" r:id="rId52" tooltip="Click to open work item: TFS#19352" display="https://tfs.lmkr.net/tfs/DefaultCollection/LMKR/_workitems/edit/19352"/>
    <hyperlink ref="A85" r:id="rId53" tooltip="Click to open work item: TFS#19347" display="https://tfs.lmkr.net/tfs/DefaultCollection/LMKR/_workitems/edit/19347"/>
    <hyperlink ref="A86" r:id="rId54" tooltip="Click to open work item: TFS#19557" display="https://tfs.lmkr.net/tfs/DefaultCollection/LMKR/_workitems/edit/19557"/>
    <hyperlink ref="A87" r:id="rId55" tooltip="Click to open work item: TFS#20014" display="https://tfs.lmkr.net/tfs/DefaultCollection/LMKR/_workitems/edit/20014"/>
    <hyperlink ref="A89" r:id="rId56" tooltip="Click to open work item: TFS#19722" display="https://tfs.lmkr.net/tfs/DefaultCollection/LMKR/_workitems/edit/19722"/>
    <hyperlink ref="A90" r:id="rId57" tooltip="Click to open work item: TFS#19354" display="https://tfs.lmkr.net/tfs/DefaultCollection/LMKR/_workitems/edit/19354"/>
    <hyperlink ref="A91" r:id="rId58" tooltip="Click to open work item: TFS#19359" display="https://tfs.lmkr.net/tfs/DefaultCollection/LMKR/_workitems/edit/19359"/>
    <hyperlink ref="A92" r:id="rId59" tooltip="Click to open work item: TFS#19341" display="https://tfs.lmkr.net/tfs/DefaultCollection/LMKR/_workitems/edit/19341"/>
    <hyperlink ref="A94" r:id="rId60" tooltip="Click to open work item: TFS#19361" display="https://tfs.lmkr.net/tfs/DefaultCollection/LMKR/_workitems/edit/19361"/>
    <hyperlink ref="A95" r:id="rId61" tooltip="Click to open work item: TFS#19356" display="https://tfs.lmkr.net/tfs/DefaultCollection/LMKR/_workitems/edit/19356"/>
    <hyperlink ref="A96" r:id="rId62" tooltip="Click to open work item: TFS#19360" display="https://tfs.lmkr.net/tfs/DefaultCollection/LMKR/_workitems/edit/19360"/>
    <hyperlink ref="A97" r:id="rId63" tooltip="Click to open work item: TFS#19351" display="https://tfs.lmkr.net/tfs/DefaultCollection/LMKR/_workitems/edit/19351"/>
    <hyperlink ref="A98" r:id="rId64" tooltip="Click to open work item: TFS#21126" display="https://tfs.lmkr.net/tfs/DefaultCollection/LMKR/_workitems/edit/21126"/>
    <hyperlink ref="A100" r:id="rId65" tooltip="Click to open work item: TFS#19362" display="https://tfs.lmkr.net/tfs/DefaultCollection/LMKR/_workitems/edit/19362"/>
    <hyperlink ref="A101" r:id="rId66" tooltip="Click to open work item: TFS#19343" display="https://tfs.lmkr.net/tfs/DefaultCollection/LMKR/_workitems/edit/19343"/>
    <hyperlink ref="A102" r:id="rId67" tooltip="Click to open work item: TFS#19350" display="https://tfs.lmkr.net/tfs/DefaultCollection/LMKR/_workitems/edit/19350"/>
    <hyperlink ref="A104" r:id="rId68" tooltip="Click to open work item: TFS#19348" display="https://tfs.lmkr.net/tfs/DefaultCollection/LMKR/_workitems/edit/19348"/>
    <hyperlink ref="A105" r:id="rId69" tooltip="Click to open work item: TFS#19344" display="https://tfs.lmkr.net/tfs/DefaultCollection/LMKR/_workitems/edit/19344"/>
    <hyperlink ref="A106" r:id="rId70" tooltip="Click to open work item: TFS#19366" display="https://tfs.lmkr.net/tfs/DefaultCollection/LMKR/_workitems/edit/19366"/>
    <hyperlink ref="A108" r:id="rId71" tooltip="Click to open work item: TFS#20181" display="https://tfs.lmkr.net/tfs/DefaultCollection/LMKR/_workitems/edit/20181"/>
    <hyperlink ref="A109" r:id="rId72" tooltip="Click to open work item: TFS#20182" display="https://tfs.lmkr.net/tfs/DefaultCollection/LMKR/_workitems/edit/20182"/>
    <hyperlink ref="A110" r:id="rId73" tooltip="Click to open work item: TFS#29323" display="https://tfs.lmkr.net/tfs/DefaultCollection/LMKR/_workitems/edit/29323"/>
    <hyperlink ref="A111" r:id="rId74" tooltip="Click to open work item: TFS#28890" display="https://tfs.lmkr.net/tfs/DefaultCollection/LMKR/_workitems/edit/28890"/>
    <hyperlink ref="A113" r:id="rId75" tooltip="Click to open work item: TFS#19406" display="https://tfs.lmkr.net/tfs/DefaultCollection/LMKR/_workitems/edit/19406"/>
    <hyperlink ref="A114" r:id="rId76" tooltip="Click to open work item: TFS#19405" display="https://tfs.lmkr.net/tfs/DefaultCollection/LMKR/_workitems/edit/19405"/>
    <hyperlink ref="A115" r:id="rId77" tooltip="Click to open work item: TFS#19964" display="https://tfs.lmkr.net/tfs/DefaultCollection/LMKR/_workitems/edit/19964"/>
    <hyperlink ref="A116" r:id="rId78" tooltip="Click to open work item: TFS#19963" display="https://tfs.lmkr.net/tfs/DefaultCollection/LMKR/_workitems/edit/19963"/>
    <hyperlink ref="A117" r:id="rId79" tooltip="Click to open work item: TFS#19965" display="https://tfs.lmkr.net/tfs/DefaultCollection/LMKR/_workitems/edit/19965"/>
    <hyperlink ref="A118" r:id="rId80" tooltip="Click to open work item: TFS#19967" display="https://tfs.lmkr.net/tfs/DefaultCollection/LMKR/_workitems/edit/19967"/>
    <hyperlink ref="A120" r:id="rId81" tooltip="Click to open work item: TFS#21143" display="https://tfs.lmkr.net/tfs/DefaultCollection/LMKR/_workitems/edit/21143"/>
    <hyperlink ref="A121" r:id="rId82" tooltip="Click to open work item: TFS#21144" display="https://tfs.lmkr.net/tfs/DefaultCollection/LMKR/_workitems/edit/21144"/>
    <hyperlink ref="A122" r:id="rId83" tooltip="Click to open work item: TFS#21145" display="https://tfs.lmkr.net/tfs/DefaultCollection/LMKR/_workitems/edit/21145"/>
    <hyperlink ref="A123" r:id="rId84" tooltip="Click to open work item: TFS#21151" display="https://tfs.lmkr.net/tfs/DefaultCollection/LMKR/_workitems/edit/21151"/>
    <hyperlink ref="A124" r:id="rId85" tooltip="Click to open work item: TFS#21146" display="https://tfs.lmkr.net/tfs/DefaultCollection/LMKR/_workitems/edit/21146"/>
    <hyperlink ref="A125" r:id="rId86" tooltip="Click to open work item: TFS#21155" display="https://tfs.lmkr.net/tfs/DefaultCollection/LMKR/_workitems/edit/21155"/>
    <hyperlink ref="A126" r:id="rId87" tooltip="Click to open work item: TFS#21152" display="https://tfs.lmkr.net/tfs/DefaultCollection/LMKR/_workitems/edit/21152"/>
    <hyperlink ref="A127" r:id="rId88" tooltip="Click to open work item: TFS#21147" display="https://tfs.lmkr.net/tfs/DefaultCollection/LMKR/_workitems/edit/21147"/>
    <hyperlink ref="A128" r:id="rId89" tooltip="Click to open work item: TFS#21148" display="https://tfs.lmkr.net/tfs/DefaultCollection/LMKR/_workitems/edit/21148"/>
    <hyperlink ref="A129" r:id="rId90" tooltip="Click to open work item: TFS#21149" display="https://tfs.lmkr.net/tfs/DefaultCollection/LMKR/_workitems/edit/21149"/>
    <hyperlink ref="A130" r:id="rId91" tooltip="Click to open work item: TFS#21153" display="https://tfs.lmkr.net/tfs/DefaultCollection/LMKR/_workitems/edit/21153"/>
    <hyperlink ref="A131" r:id="rId92" tooltip="Click to open work item: TFS#21156" display="https://tfs.lmkr.net/tfs/DefaultCollection/LMKR/_workitems/edit/21156"/>
    <hyperlink ref="A132" r:id="rId93" tooltip="Click to open work item: TFS#21157" display="https://tfs.lmkr.net/tfs/DefaultCollection/LMKR/_workitems/edit/21157"/>
    <hyperlink ref="A133" r:id="rId94" tooltip="Click to open work item: TFS#21154" display="https://tfs.lmkr.net/tfs/DefaultCollection/LMKR/_workitems/edit/21154"/>
    <hyperlink ref="A134" r:id="rId95" tooltip="Click to open work item: TFS#21150" display="https://tfs.lmkr.net/tfs/DefaultCollection/LMKR/_workitems/edit/21150"/>
    <hyperlink ref="A135" r:id="rId96" tooltip="Click to open work item: TFS#20217" display="https://tfs.lmkr.net/tfs/DefaultCollection/LMKR/_workitems/edit/20217"/>
    <hyperlink ref="A137" r:id="rId97" tooltip="Click to open work item: TFS#21125" display="https://tfs.lmkr.net/tfs/DefaultCollection/LMKR/_workitems/edit/21125"/>
    <hyperlink ref="A138" r:id="rId98" tooltip="Click to open work item: TFS#21118" display="https://tfs.lmkr.net/tfs/DefaultCollection/LMKR/_workitems/edit/21118"/>
    <hyperlink ref="A139" r:id="rId99" tooltip="Click to open work item: TFS#21124" display="https://tfs.lmkr.net/tfs/DefaultCollection/LMKR/_workitems/edit/21124"/>
    <hyperlink ref="A140" r:id="rId100" tooltip="Click to open work item: TFS#21120" display="https://tfs.lmkr.net/tfs/DefaultCollection/LMKR/_workitems/edit/21120"/>
    <hyperlink ref="A141" r:id="rId101" tooltip="Click to open work item: TFS#21121" display="https://tfs.lmkr.net/tfs/DefaultCollection/LMKR/_workitems/edit/21121"/>
    <hyperlink ref="A142" r:id="rId102" tooltip="Click to open work item: TFS#19570" display="https://tfs.lmkr.net/tfs/DefaultCollection/LMKR/_workitems/edit/19570"/>
    <hyperlink ref="A143" r:id="rId103" tooltip="Click to open work item: TFS#21119" display="https://tfs.lmkr.net/tfs/DefaultCollection/LMKR/_workitems/edit/21119"/>
    <hyperlink ref="A144" r:id="rId104" tooltip="Click to open work item: TFS#21117" display="https://tfs.lmkr.net/tfs/DefaultCollection/LMKR/_workitems/edit/21117"/>
    <hyperlink ref="A145" r:id="rId105" tooltip="Click to open work item: TFS#19309" display="https://tfs.lmkr.net/tfs/DefaultCollection/LMKR/_workitems/edit/19309"/>
    <hyperlink ref="A146" r:id="rId106" tooltip="Click to open work item: TFS#21127" display="https://tfs.lmkr.net/tfs/DefaultCollection/LMKR/_workitems/edit/21127"/>
    <hyperlink ref="A24" r:id="rId107" tooltip="Click to open work item: TFS#19722" display="https://tfs.lmkr.net/tfs/DefaultCollection/LMKR/_workitems/edit/19722"/>
    <hyperlink ref="A23" r:id="rId108" tooltip="Click to open work item: TFS#19353" display="https://tfs.lmkr.net/tfs/DefaultCollection/LMKR/_workitems/edit/19353"/>
    <hyperlink ref="A16" r:id="rId109" tooltip="Click to open work item: TFS#19717" display="https://tfs.lmkr.net/tfs/DefaultCollection/LMKR/_workitems/edit/19717"/>
    <hyperlink ref="A21" r:id="rId110" tooltip="Click to open work item: TFS#20014" display="https://tfs.lmkr.net/tfs/DefaultCollection/LMKR/_workitems/edit/20014"/>
    <hyperlink ref="A20" r:id="rId111" tooltip="Click to open work item: TFS#19557" display="https://tfs.lmkr.net/tfs/DefaultCollection/LMKR/_workitems/edit/19557"/>
    <hyperlink ref="A19" r:id="rId112" tooltip="Click to open work item: TFS#19347" display="https://tfs.lmkr.net/tfs/DefaultCollection/LMKR/_workitems/edit/19347"/>
    <hyperlink ref="A18" r:id="rId113" tooltip="Click to open work item: TFS#19352" display="https://tfs.lmkr.net/tfs/DefaultCollection/LMKR/_workitems/edit/19352"/>
    <hyperlink ref="A17" r:id="rId114" tooltip="Click to open work item: TFS#19355" display="https://tfs.lmkr.net/tfs/DefaultCollection/LMKR/_workitems/edit/19355"/>
    <hyperlink ref="A14" r:id="rId115" tooltip="Click to open work item: TFS#19556" display="https://tfs.lmkr.net/tfs/DefaultCollection/LMKR/_workitems/edit/19556"/>
    <hyperlink ref="A13" r:id="rId116" tooltip="Click to open work item: TFS#19555" display="https://tfs.lmkr.net/tfs/DefaultCollection/LMKR/_workitems/edit/19555"/>
    <hyperlink ref="A12" r:id="rId117" tooltip="Click to open work item: TFS#19554" display="https://tfs.lmkr.net/tfs/DefaultCollection/LMKR/_workitems/edit/19554"/>
    <hyperlink ref="A11" r:id="rId118" tooltip="Click to open work item: TFS#19553" display="https://tfs.lmkr.net/tfs/DefaultCollection/LMKR/_workitems/edit/19553"/>
    <hyperlink ref="A10" r:id="rId119" tooltip="Click to open work item: TFS#19552" display="https://tfs.lmkr.net/tfs/DefaultCollection/LMKR/_workitems/edit/19552"/>
    <hyperlink ref="A9" r:id="rId120" tooltip="Click to open work item: TFS#19551" display="https://tfs.lmkr.net/tfs/DefaultCollection/LMKR/_workitems/edit/19551"/>
    <hyperlink ref="A8" r:id="rId121" tooltip="Click to open work item: TFS#19550" display="https://tfs.lmkr.net/tfs/DefaultCollection/LMKR/_workitems/edit/19550"/>
    <hyperlink ref="A7" r:id="rId122" tooltip="Click to open work item: TFS#19549" display="https://tfs.lmkr.net/tfs/DefaultCollection/LMKR/_workitems/edit/19549"/>
    <hyperlink ref="A6" r:id="rId123" tooltip="Click to open work item: TFS#19548" display="https://tfs.lmkr.net/tfs/DefaultCollection/LMKR/_workitems/edit/19548"/>
    <hyperlink ref="A151" r:id="rId124" tooltip="Click to open work item: TFS#21275" display="https://tfs.lmkr.net/tfs/DefaultCollection/LMKR/_workitems/edit/21275"/>
    <hyperlink ref="A152" r:id="rId125" tooltip="Click to open work item: TFS#21496" display="https://tfs.lmkr.net/tfs/DefaultCollection/LMKR/_workitems/edit/21496"/>
    <hyperlink ref="A153" r:id="rId126" tooltip="Click to open work item: TFS#21494" display="https://tfs.lmkr.net/tfs/DefaultCollection/LMKR/_workitems/edit/21494"/>
    <hyperlink ref="A154" r:id="rId127" tooltip="Click to open work item: TFS#21497" display="https://tfs.lmkr.net/tfs/DefaultCollection/LMKR/_workitems/edit/21497"/>
    <hyperlink ref="A155" r:id="rId128" tooltip="Click to open work item: TFS#21274" display="https://tfs.lmkr.net/tfs/DefaultCollection/LMKR/_workitems/edit/21274"/>
    <hyperlink ref="A157" r:id="rId129" tooltip="Click to open work item: TFS#21267" display="https://tfs.lmkr.net/tfs/DefaultCollection/LMKR/_workitems/edit/21267"/>
    <hyperlink ref="A158" r:id="rId130" tooltip="Click to open work item: TFS#21268" display="https://tfs.lmkr.net/tfs/DefaultCollection/LMKR/_workitems/edit/21268"/>
    <hyperlink ref="A159" r:id="rId131" tooltip="Click to open work item: TFS#21270" display="https://tfs.lmkr.net/tfs/DefaultCollection/LMKR/_workitems/edit/21270"/>
    <hyperlink ref="A161" r:id="rId132" tooltip="Click to open work item: TFS#21492" display="https://tfs.lmkr.net/tfs/DefaultCollection/LMKR/_workitems/edit/21492"/>
    <hyperlink ref="A162" r:id="rId133" tooltip="Click to open work item: TFS#21272" display="https://tfs.lmkr.net/tfs/DefaultCollection/LMKR/_workitems/edit/21272"/>
    <hyperlink ref="A164" r:id="rId134" tooltip="Click to open work item: TFS#21276" display="https://tfs.lmkr.net/tfs/DefaultCollection/LMKR/_workitems/edit/21276"/>
    <hyperlink ref="A165" r:id="rId135" tooltip="Click to open work item: TFS#21277" display="https://tfs.lmkr.net/tfs/DefaultCollection/LMKR/_workitems/edit/21277"/>
    <hyperlink ref="A166" r:id="rId136" tooltip="Click to open work item: TFS#21498" display="https://tfs.lmkr.net/tfs/DefaultCollection/LMKR/_workitems/edit/21498"/>
    <hyperlink ref="A167" r:id="rId137" tooltip="Click to open work item: TFS#21511" display="https://tfs.lmkr.net/tfs/DefaultCollection/LMKR/_workitems/edit/21511"/>
    <hyperlink ref="A169" r:id="rId138" tooltip="Click to open work item: TFS#21273" display="https://tfs.lmkr.net/tfs/DefaultCollection/LMKR/_workitems/edit/21273"/>
    <hyperlink ref="A170" r:id="rId139" tooltip="Click to open work item: TFS#21269" display="https://tfs.lmkr.net/tfs/DefaultCollection/LMKR/_workitems/edit/21269"/>
    <hyperlink ref="A171" r:id="rId140" tooltip="Click to open work item: TFS#21495" display="https://tfs.lmkr.net/tfs/DefaultCollection/LMKR/_workitems/edit/21495"/>
    <hyperlink ref="A173" r:id="rId141" tooltip="Click to open work item: TFS#21271" display="https://tfs.lmkr.net/tfs/DefaultCollection/LMKR/_workitems/edit/21271"/>
    <hyperlink ref="A174" r:id="rId142" tooltip="Click to open work item: TFS#19338" display="https://tfs.lmkr.net/tfs/DefaultCollection/LMKR/_workitems/edit/19338"/>
    <hyperlink ref="A176" r:id="rId143" tooltip="Click to open work item: TFS#19339" display="https://tfs.lmkr.net/tfs/DefaultCollection/LMKR/_workitems/edit/19339"/>
    <hyperlink ref="A177" r:id="rId144" tooltip="Click to open work item: TFS#33967" display="https://tfs.lmkr.net/tfs/DefaultCollection/LMKR/_workitems/edit/33967"/>
    <hyperlink ref="A179" r:id="rId145" tooltip="Click to open work item: TFS#21571" display="https://tfs.lmkr.net/tfs/DefaultCollection/LMKR/_workitems/edit/21571"/>
    <hyperlink ref="A180" r:id="rId146" tooltip="Click to open work item: TFS#21572" display="https://tfs.lmkr.net/tfs/DefaultCollection/LMKR/_workitems/edit/21572"/>
    <hyperlink ref="A182" r:id="rId147" tooltip="Click to open work item: TFS#21551" display="https://tfs.lmkr.net/tfs/DefaultCollection/LMKR/_workitems/edit/21551"/>
    <hyperlink ref="A183" r:id="rId148" tooltip="Click to open work item: TFS#21552" display="https://tfs.lmkr.net/tfs/DefaultCollection/LMKR/_workitems/edit/21552"/>
    <hyperlink ref="A185" r:id="rId149" tooltip="Click to open work item: TFS#21561" display="https://tfs.lmkr.net/tfs/DefaultCollection/LMKR/_workitems/edit/21561"/>
    <hyperlink ref="A186" r:id="rId150" tooltip="Click to open work item: TFS#21562" display="https://tfs.lmkr.net/tfs/DefaultCollection/LMKR/_workitems/edit/21562"/>
    <hyperlink ref="A223" r:id="rId151" tooltip="Click to open work item: TFS#21553" display="https://tfs.lmkr.net/tfs/DefaultCollection/LMKR/_workitems/edit/21553"/>
    <hyperlink ref="A224" r:id="rId152" tooltip="Click to open work item: TFS#21555" display="https://tfs.lmkr.net/tfs/DefaultCollection/LMKR/_workitems/edit/21555"/>
    <hyperlink ref="A225" r:id="rId153" tooltip="Click to open work item: TFS#21554" display="https://tfs.lmkr.net/tfs/DefaultCollection/LMKR/_workitems/edit/21554"/>
    <hyperlink ref="A226" r:id="rId154" tooltip="Click to open work item: TFS#21556" display="https://tfs.lmkr.net/tfs/DefaultCollection/LMKR/_workitems/edit/21556"/>
    <hyperlink ref="A218" r:id="rId155" tooltip="Click to open work item: TFS#21573" display="https://tfs.lmkr.net/tfs/DefaultCollection/LMKR/_workitems/edit/21573"/>
    <hyperlink ref="A219" r:id="rId156" tooltip="Click to open work item: TFS#21575" display="https://tfs.lmkr.net/tfs/DefaultCollection/LMKR/_workitems/edit/21575"/>
    <hyperlink ref="A220" r:id="rId157" tooltip="Click to open work item: TFS#21574" display="https://tfs.lmkr.net/tfs/DefaultCollection/LMKR/_workitems/edit/21574"/>
    <hyperlink ref="A221" r:id="rId158" tooltip="Click to open work item: TFS#21576" display="https://tfs.lmkr.net/tfs/DefaultCollection/LMKR/_workitems/edit/21576"/>
    <hyperlink ref="A228" r:id="rId159" tooltip="Click to open work item: TFS#21563" display="https://tfs.lmkr.net/tfs/DefaultCollection/LMKR/_workitems/edit/21563"/>
    <hyperlink ref="A229" r:id="rId160" tooltip="Click to open work item: TFS#21565" display="https://tfs.lmkr.net/tfs/DefaultCollection/LMKR/_workitems/edit/21565"/>
    <hyperlink ref="A230" r:id="rId161" tooltip="Click to open work item: TFS#21564" display="https://tfs.lmkr.net/tfs/DefaultCollection/LMKR/_workitems/edit/21564"/>
    <hyperlink ref="A231" r:id="rId162" tooltip="Click to open work item: TFS#21566" display="https://tfs.lmkr.net/tfs/DefaultCollection/LMKR/_workitems/edit/21566"/>
    <hyperlink ref="A188" r:id="rId163" tooltip="Click to open work item: TFS#21577" display="https://tfs.lmkr.net/tfs/DefaultCollection/LMKR/_workitems/edit/21577"/>
    <hyperlink ref="A189" r:id="rId164" tooltip="Click to open work item: TFS#21591" display="https://tfs.lmkr.net/tfs/DefaultCollection/LMKR/_workitems/edit/21591"/>
    <hyperlink ref="A190" r:id="rId165" tooltip="Click to open work item: TFS#21578" display="https://tfs.lmkr.net/tfs/DefaultCollection/LMKR/_workitems/edit/21578"/>
    <hyperlink ref="A191" r:id="rId166" tooltip="Click to open work item: TFS#21593" display="https://tfs.lmkr.net/tfs/DefaultCollection/LMKR/_workitems/edit/21593"/>
    <hyperlink ref="A193" r:id="rId167" tooltip="Click to open work item: TFS#21580" display="https://tfs.lmkr.net/tfs/DefaultCollection/LMKR/_workitems/edit/21580"/>
    <hyperlink ref="A194" r:id="rId168" tooltip="Click to open work item: TFS#21592" display="https://tfs.lmkr.net/tfs/DefaultCollection/LMKR/_workitems/edit/21592"/>
    <hyperlink ref="A195" r:id="rId169" tooltip="Click to open work item: TFS#21579" display="https://tfs.lmkr.net/tfs/DefaultCollection/LMKR/_workitems/edit/21579"/>
    <hyperlink ref="A196" r:id="rId170" tooltip="Click to open work item: TFS#21594" display="https://tfs.lmkr.net/tfs/DefaultCollection/LMKR/_workitems/edit/21594"/>
    <hyperlink ref="A198" r:id="rId171" tooltip="Click to open work item: TFS#21557" display="https://tfs.lmkr.net/tfs/DefaultCollection/LMKR/_workitems/edit/21557"/>
    <hyperlink ref="A199" r:id="rId172" tooltip="Click to open work item: TFS#21595" display="https://tfs.lmkr.net/tfs/DefaultCollection/LMKR/_workitems/edit/21595"/>
    <hyperlink ref="A200" r:id="rId173" tooltip="Click to open work item: TFS#21558" display="https://tfs.lmkr.net/tfs/DefaultCollection/LMKR/_workitems/edit/21558"/>
    <hyperlink ref="A201" r:id="rId174" tooltip="Click to open work item: TFS#21597" display="https://tfs.lmkr.net/tfs/DefaultCollection/LMKR/_workitems/edit/21597"/>
    <hyperlink ref="A203" r:id="rId175" tooltip="Click to open work item: TFS#21560" display="https://tfs.lmkr.net/tfs/DefaultCollection/LMKR/_workitems/edit/21560"/>
    <hyperlink ref="A204" r:id="rId176" tooltip="Click to open work item: TFS#21596" display="https://tfs.lmkr.net/tfs/DefaultCollection/LMKR/_workitems/edit/21596"/>
    <hyperlink ref="A205" r:id="rId177" tooltip="Click to open work item: TFS#21559" display="https://tfs.lmkr.net/tfs/DefaultCollection/LMKR/_workitems/edit/21559"/>
    <hyperlink ref="A206" r:id="rId178" tooltip="Click to open work item: TFS#21598" display="https://tfs.lmkr.net/tfs/DefaultCollection/LMKR/_workitems/edit/21598"/>
    <hyperlink ref="A208" r:id="rId179" tooltip="Click to open work item: TFS#21567" display="https://tfs.lmkr.net/tfs/DefaultCollection/LMKR/_workitems/edit/21567"/>
    <hyperlink ref="A209" r:id="rId180" tooltip="Click to open work item: TFS#21599" display="https://tfs.lmkr.net/tfs/DefaultCollection/LMKR/_workitems/edit/21599"/>
    <hyperlink ref="A210" r:id="rId181" tooltip="Click to open work item: TFS#21568" display="https://tfs.lmkr.net/tfs/DefaultCollection/LMKR/_workitems/edit/21568"/>
    <hyperlink ref="A211" r:id="rId182" tooltip="Click to open work item: TFS#21601" display="https://tfs.lmkr.net/tfs/DefaultCollection/LMKR/_workitems/edit/21601"/>
    <hyperlink ref="A213" r:id="rId183" tooltip="Click to open work item: TFS#21570" display="https://tfs.lmkr.net/tfs/DefaultCollection/LMKR/_workitems/edit/21570"/>
    <hyperlink ref="A214" r:id="rId184" tooltip="Click to open work item: TFS#21600" display="https://tfs.lmkr.net/tfs/DefaultCollection/LMKR/_workitems/edit/21600"/>
    <hyperlink ref="A215" r:id="rId185" tooltip="Click to open work item: TFS#21569" display="https://tfs.lmkr.net/tfs/DefaultCollection/LMKR/_workitems/edit/21569"/>
    <hyperlink ref="A216" r:id="rId186" tooltip="Click to open work item: TFS#21602" display="https://tfs.lmkr.net/tfs/DefaultCollection/LMKR/_workitems/edit/21602"/>
    <hyperlink ref="A233" r:id="rId187" display="https://tfs.lmkr.net/tfs/web/wi.aspx?pcguid=30018faa-01b3-4ccb-92ec-14a111542996&amp;id=21285"/>
    <hyperlink ref="A234" r:id="rId188" display="https://tfs.lmkr.net/tfs/web/wi.aspx?pcguid=30018faa-01b3-4ccb-92ec-14a111542996&amp;id=21286"/>
    <hyperlink ref="A235" r:id="rId189" display="https://tfs.lmkr.net/tfs/web/wi.aspx?pcguid=30018faa-01b3-4ccb-92ec-14a111542996&amp;id=21287"/>
    <hyperlink ref="A236" r:id="rId190" display="https://tfs.lmkr.net/tfs/web/wi.aspx?pcguid=30018faa-01b3-4ccb-92ec-14a111542996&amp;id=21288"/>
    <hyperlink ref="A237" r:id="rId191" display="https://tfs.lmkr.net/tfs/web/wi.aspx?pcguid=30018faa-01b3-4ccb-92ec-14a111542996&amp;id=21289"/>
    <hyperlink ref="A241" r:id="rId192" display="https://tfs.lmkr.net/tfs/web/wi.aspx?pcguid=30018faa-01b3-4ccb-92ec-14a111542996&amp;id=21337"/>
    <hyperlink ref="A243" r:id="rId193" display="https://tfs.lmkr.net/tfs/web/wi.aspx?pcguid=30018faa-01b3-4ccb-92ec-14a111542996&amp;id=21279"/>
    <hyperlink ref="A245" r:id="rId194" display="https://tfs.lmkr.net/tfs/web/wi.aspx?pcguid=30018faa-01b3-4ccb-92ec-14a111542996&amp;id=32229"/>
    <hyperlink ref="A246" r:id="rId195" display="https://tfs.lmkr.net/tfs/web/wi.aspx?pcguid=30018faa-01b3-4ccb-92ec-14a111542996&amp;id=21475"/>
    <hyperlink ref="A248" r:id="rId196" display="https://tfs.lmkr.net/tfs/web/wi.aspx?pcguid=30018faa-01b3-4ccb-92ec-14a111542996&amp;id=30380"/>
    <hyperlink ref="A249" r:id="rId197" display="https://tfs.lmkr.net/tfs/web/wi.aspx?pcguid=30018faa-01b3-4ccb-92ec-14a111542996&amp;id=30375"/>
    <hyperlink ref="A250" r:id="rId198" display="https://tfs.lmkr.net/tfs/web/wi.aspx?pcguid=30018faa-01b3-4ccb-92ec-14a111542996&amp;id=30376"/>
    <hyperlink ref="A251" r:id="rId199" display="https://tfs.lmkr.net/tfs/web/wi.aspx?pcguid=30018faa-01b3-4ccb-92ec-14a111542996&amp;id=30383"/>
    <hyperlink ref="A252" r:id="rId200" display="https://tfs.lmkr.net/tfs/web/wi.aspx?pcguid=30018faa-01b3-4ccb-92ec-14a111542996&amp;id=30390"/>
    <hyperlink ref="A253" r:id="rId201" display="https://tfs.lmkr.net/tfs/web/wi.aspx?pcguid=30018faa-01b3-4ccb-92ec-14a111542996&amp;id=30392"/>
    <hyperlink ref="A255" r:id="rId202" display="https://tfs.lmkr.net/tfs/web/wi.aspx?pcguid=30018faa-01b3-4ccb-92ec-14a111542996&amp;id=21614"/>
    <hyperlink ref="A256" r:id="rId203" display="https://tfs.lmkr.net/tfs/web/wi.aspx?pcguid=30018faa-01b3-4ccb-92ec-14a111542996&amp;id=21615"/>
    <hyperlink ref="A257" r:id="rId204" display="https://tfs.lmkr.net/tfs/web/wi.aspx?pcguid=30018faa-01b3-4ccb-92ec-14a111542996&amp;id=21616"/>
    <hyperlink ref="A259" r:id="rId205" display="https://tfs.lmkr.net/tfs/web/wi.aspx?pcguid=30018faa-01b3-4ccb-92ec-14a111542996&amp;id=21618"/>
    <hyperlink ref="A260" r:id="rId206" display="https://tfs.lmkr.net/tfs/web/wi.aspx?pcguid=30018faa-01b3-4ccb-92ec-14a111542996&amp;id=21619"/>
    <hyperlink ref="A262" r:id="rId207" display="https://tfs.lmkr.net/tfs/web/wi.aspx?pcguid=30018faa-01b3-4ccb-92ec-14a111542996&amp;id=21621"/>
    <hyperlink ref="A264" r:id="rId208" display="https://tfs.lmkr.net/tfs/web/wi.aspx?pcguid=30018faa-01b3-4ccb-92ec-14a111542996&amp;id=21623"/>
    <hyperlink ref="A266" r:id="rId209" display="https://tfs.lmkr.net/tfs/web/wi.aspx?pcguid=30018faa-01b3-4ccb-92ec-14a111542996&amp;id=21625"/>
    <hyperlink ref="A268" r:id="rId210" display="https://tfs.lmkr.net/tfs/web/wi.aspx?pcguid=30018faa-01b3-4ccb-92ec-14a111542996&amp;id=21627"/>
    <hyperlink ref="A271" r:id="rId211" display="https://tfs.lmkr.net/tfs/web/wi.aspx?pcguid=30018faa-01b3-4ccb-92ec-14a111542996&amp;id=21530"/>
    <hyperlink ref="A272" r:id="rId212" display="https://tfs.lmkr.net/tfs/web/wi.aspx?pcguid=30018faa-01b3-4ccb-92ec-14a111542996&amp;id=21535"/>
    <hyperlink ref="A274" r:id="rId213" display="https://tfs.lmkr.net/tfs/web/wi.aspx?pcguid=30018faa-01b3-4ccb-92ec-14a111542996&amp;id=21499"/>
    <hyperlink ref="A275" r:id="rId214" display="https://tfs.lmkr.net/tfs/web/wi.aspx?pcguid=30018faa-01b3-4ccb-92ec-14a111542996&amp;id=21500"/>
    <hyperlink ref="A239" r:id="rId215" display="https://tfs.lmkr.net/tfs/web/wi.aspx?pcguid=30018faa-01b3-4ccb-92ec-14a111542996&amp;id=21398"/>
    <hyperlink ref="G237" r:id="rId216"/>
    <hyperlink ref="G239" r:id="rId217"/>
    <hyperlink ref="G245:G246" r:id="rId218" display="Skipped this test case due to Kashif's email "/>
    <hyperlink ref="G274" r:id="rId219"/>
    <hyperlink ref="G275" r:id="rId220"/>
    <hyperlink ref="A281" r:id="rId221" tooltip="Click to open work item: TFS#22925" display="https://tfs.lmkr.net/tfs/DefaultCollection/LMKR/_workitems/edit/22925"/>
    <hyperlink ref="A282" r:id="rId222" tooltip="Click to open work item: TFS#22873" display="https://tfs.lmkr.net/tfs/DefaultCollection/LMKR/_workitems/edit/22873"/>
    <hyperlink ref="A283" r:id="rId223" tooltip="Click to open work item: TFS#22875" display="https://tfs.lmkr.net/tfs/DefaultCollection/LMKR/_workitems/edit/22875"/>
    <hyperlink ref="A284" r:id="rId224" tooltip="Click to open work item: TFS#22874" display="https://tfs.lmkr.net/tfs/DefaultCollection/LMKR/_workitems/edit/22874"/>
    <hyperlink ref="A286" r:id="rId225" tooltip="Click to open work item: TFS#22871" display="https://tfs.lmkr.net/tfs/DefaultCollection/LMKR/_workitems/edit/22871"/>
    <hyperlink ref="A287" r:id="rId226" tooltip="Click to open work item: TFS#22887" display="https://tfs.lmkr.net/tfs/DefaultCollection/LMKR/_workitems/edit/22887"/>
    <hyperlink ref="A288" r:id="rId227" tooltip="Click to open work item: TFS#22891" display="https://tfs.lmkr.net/tfs/DefaultCollection/LMKR/_workitems/edit/22891"/>
    <hyperlink ref="A289" r:id="rId228" tooltip="Click to open work item: TFS#22884" display="https://tfs.lmkr.net/tfs/DefaultCollection/LMKR/_workitems/edit/22884"/>
    <hyperlink ref="A290" r:id="rId229" tooltip="Click to open work item: TFS#22892" display="https://tfs.lmkr.net/tfs/DefaultCollection/LMKR/_workitems/edit/22892"/>
    <hyperlink ref="A291" r:id="rId230" tooltip="Click to open work item: TFS#22888" display="https://tfs.lmkr.net/tfs/DefaultCollection/LMKR/_workitems/edit/22888"/>
    <hyperlink ref="A292" r:id="rId231" tooltip="Click to open work item: TFS#22885" display="https://tfs.lmkr.net/tfs/DefaultCollection/LMKR/_workitems/edit/22885"/>
    <hyperlink ref="A294" r:id="rId232" tooltip="Click to open work item: TFS#22886" display="https://tfs.lmkr.net/tfs/DefaultCollection/LMKR/_workitems/edit/22886"/>
    <hyperlink ref="A295" r:id="rId233" tooltip="Click to open work item: TFS#22889" display="https://tfs.lmkr.net/tfs/DefaultCollection/LMKR/_workitems/edit/22889"/>
    <hyperlink ref="A296" r:id="rId234" tooltip="Click to open work item: TFS#22890" display="https://tfs.lmkr.net/tfs/DefaultCollection/LMKR/_workitems/edit/22890"/>
    <hyperlink ref="A297" r:id="rId235" tooltip="Click to open work item: TFS#22961" display="https://tfs.lmkr.net/tfs/DefaultCollection/LMKR/_workitems/edit/22961"/>
    <hyperlink ref="A298" r:id="rId236" tooltip="Click to open work item: TFS#22870" display="https://tfs.lmkr.net/tfs/DefaultCollection/LMKR/_workitems/edit/22870"/>
    <hyperlink ref="A299" r:id="rId237" tooltip="Click to open work item: TFS#22876" display="https://tfs.lmkr.net/tfs/DefaultCollection/LMKR/_workitems/edit/22876"/>
    <hyperlink ref="A308" r:id="rId238" tooltip="Click to open work item: TFS#22925" display="https://tfs.lmkr.net/tfs/DefaultCollection/LMKR/_workitems/edit/22925"/>
    <hyperlink ref="A309" r:id="rId239" tooltip="Click to open work item: TFS#22873" display="https://tfs.lmkr.net/tfs/DefaultCollection/LMKR/_workitems/edit/22873"/>
    <hyperlink ref="A310" r:id="rId240" tooltip="Click to open work item: TFS#22875" display="https://tfs.lmkr.net/tfs/DefaultCollection/LMKR/_workitems/edit/22875"/>
    <hyperlink ref="A311" r:id="rId241" tooltip="Click to open work item: TFS#22874" display="https://tfs.lmkr.net/tfs/DefaultCollection/LMKR/_workitems/edit/22874"/>
    <hyperlink ref="A313" r:id="rId242" tooltip="Click to open work item: TFS#22871" display="https://tfs.lmkr.net/tfs/DefaultCollection/LMKR/_workitems/edit/22871"/>
    <hyperlink ref="A314" r:id="rId243" tooltip="Click to open work item: TFS#22887" display="https://tfs.lmkr.net/tfs/DefaultCollection/LMKR/_workitems/edit/22887"/>
    <hyperlink ref="A315" r:id="rId244" tooltip="Click to open work item: TFS#22891" display="https://tfs.lmkr.net/tfs/DefaultCollection/LMKR/_workitems/edit/22891"/>
    <hyperlink ref="A316" r:id="rId245" tooltip="Click to open work item: TFS#22892" display="https://tfs.lmkr.net/tfs/DefaultCollection/LMKR/_workitems/edit/22892"/>
    <hyperlink ref="A317" r:id="rId246" tooltip="Click to open work item: TFS#22888" display="https://tfs.lmkr.net/tfs/DefaultCollection/LMKR/_workitems/edit/22888"/>
    <hyperlink ref="A318" r:id="rId247" tooltip="Click to open work item: TFS#22883" display="https://tfs.lmkr.net/tfs/DefaultCollection/LMKR/_workitems/edit/22883"/>
    <hyperlink ref="A319" r:id="rId248" tooltip="Click to open work item: TFS#22885" display="https://tfs.lmkr.net/tfs/DefaultCollection/LMKR/_workitems/edit/22885"/>
    <hyperlink ref="A321" r:id="rId249" tooltip="Click to open work item: TFS#22886" display="https://tfs.lmkr.net/tfs/DefaultCollection/LMKR/_workitems/edit/22886"/>
    <hyperlink ref="A322" r:id="rId250" tooltip="Click to open work item: TFS#22889" display="https://tfs.lmkr.net/tfs/DefaultCollection/LMKR/_workitems/edit/22889"/>
    <hyperlink ref="A323" r:id="rId251" tooltip="Click to open work item: TFS#22870" display="https://tfs.lmkr.net/tfs/DefaultCollection/LMKR/_workitems/edit/22870"/>
    <hyperlink ref="A301" r:id="rId252" tooltip="Click to open work item: TFS#22925" display="https://tfs.lmkr.net/tfs/DefaultCollection/LMKR/_workitems/edit/22925"/>
    <hyperlink ref="A302" r:id="rId253" tooltip="Click to open work item: TFS#22873" display="https://tfs.lmkr.net/tfs/DefaultCollection/LMKR/_workitems/edit/22873"/>
    <hyperlink ref="A303" r:id="rId254" tooltip="Click to open work item: TFS#22875" display="https://tfs.lmkr.net/tfs/DefaultCollection/LMKR/_workitems/edit/22875"/>
    <hyperlink ref="A304" r:id="rId255" tooltip="Click to open work item: TFS#22874" display="https://tfs.lmkr.net/tfs/DefaultCollection/LMKR/_workitems/edit/22874"/>
    <hyperlink ref="A305" r:id="rId256" tooltip="Click to open work item: TFS#22871" display="https://tfs.lmkr.net/tfs/DefaultCollection/LMKR/_workitems/edit/22871"/>
    <hyperlink ref="A306" r:id="rId257" tooltip="Click to open work item: TFS#22887" display="https://tfs.lmkr.net/tfs/DefaultCollection/LMKR/_workitems/edit/22887"/>
    <hyperlink ref="A328" r:id="rId258" display="https://tfs.lmkr.net/tfs/web/UI/Pages/WorkItems/WorkItemEdit.aspx?id=23376&amp;pguid=cfec7082-5fcb-4dd8-a280-69cacc6e885d"/>
    <hyperlink ref="A335" r:id="rId259" display="https://tfs.lmkr.net/tfs/web/UI/Pages/WorkItems/WorkItemEdit.aspx?id=23381&amp;pguid=cfec7082-5fcb-4dd8-a280-69cacc6e885d"/>
    <hyperlink ref="A334" r:id="rId260" display="https://tfs.lmkr.net/tfs/web/UI/Pages/WorkItems/WorkItemEdit.aspx?id=23380&amp;pguid=cfec7082-5fcb-4dd8-a280-69cacc6e885d"/>
    <hyperlink ref="A333" r:id="rId261" display="https://tfs.lmkr.net/tfs/web/UI/Pages/WorkItems/WorkItemEdit.aspx?id=23383&amp;pguid=cfec7082-5fcb-4dd8-a280-69cacc6e885d"/>
    <hyperlink ref="A332" r:id="rId262" display="https://tfs.lmkr.net/tfs/web/UI/Pages/WorkItems/WorkItemEdit.aspx?id=23379&amp;pguid=cfec7082-5fcb-4dd8-a280-69cacc6e885d"/>
    <hyperlink ref="A331" r:id="rId263" display="https://tfs.lmkr.net/tfs/web/UI/Pages/WorkItems/WorkItemEdit.aspx?id=23377&amp;pguid=cfec7082-5fcb-4dd8-a280-69cacc6e885d"/>
    <hyperlink ref="A330" r:id="rId264" display="https://tfs.lmkr.net/tfs/web/UI/Pages/WorkItems/WorkItemEdit.aspx?id=23378&amp;pguid=cfec7082-5fcb-4dd8-a280-69cacc6e885d"/>
    <hyperlink ref="A329" r:id="rId265" display="https://tfs.lmkr.net/tfs/web/UI/Pages/WorkItems/WorkItemEdit.aspx?id=23375&amp;pguid=cfec7082-5fcb-4dd8-a280-69cacc6e885d"/>
    <hyperlink ref="A337" r:id="rId266" display="https://tfs.lmkr.net/tfs/web/UI/Pages/WorkItems/WorkItemEdit.aspx?id=23373&amp;pguid=cfec7082-5fcb-4dd8-a280-69cacc6e885d"/>
    <hyperlink ref="A343" r:id="rId267" display="https://tfs.lmkr.net/tfs/web/UI/Pages/WorkItems/WorkItemEdit.aspx?id=23387&amp;pguid=cfec7082-5fcb-4dd8-a280-69cacc6e885d"/>
    <hyperlink ref="A342" r:id="rId268" display="https://tfs.lmkr.net/tfs/web/UI/Pages/WorkItems/WorkItemEdit.aspx?id=23384&amp;pguid=cfec7082-5fcb-4dd8-a280-69cacc6e885d"/>
    <hyperlink ref="A341" r:id="rId269" display="https://tfs.lmkr.net/tfs/web/UI/Pages/WorkItems/WorkItemEdit.aspx?id=23382&amp;pguid=cfec7082-5fcb-4dd8-a280-69cacc6e885d"/>
    <hyperlink ref="A340" r:id="rId270" display="https://tfs.lmkr.net/tfs/web/UI/Pages/WorkItems/WorkItemEdit.aspx?id=23386&amp;pguid=cfec7082-5fcb-4dd8-a280-69cacc6e885d"/>
    <hyperlink ref="A338" r:id="rId271" display="https://tfs.lmkr.net/tfs/web/UI/Pages/WorkItems/WorkItemEdit.aspx?id=23374&amp;pguid=cfec7082-5fcb-4dd8-a280-69cacc6e885d"/>
    <hyperlink ref="A339" r:id="rId272" display="https://tfs.lmkr.net/tfs/web/UI/Pages/WorkItems/WorkItemEdit.aspx?id=23372&amp;pguid=cfec7082-5fcb-4dd8-a280-69cacc6e885d"/>
    <hyperlink ref="A344" r:id="rId273" display="https://tfs.lmkr.net/tfs/web/UI/Pages/WorkItems/WorkItemEdit.aspx?id=23388&amp;pguid=cfec7082-5fcb-4dd8-a280-69cacc6e885d"/>
    <hyperlink ref="A345" r:id="rId274" display="https://tfs.lmkr.net/tfs/web/UI/Pages/WorkItems/WorkItemEdit.aspx?id=23391&amp;pguid=cfec7082-5fcb-4dd8-a280-69cacc6e885d"/>
    <hyperlink ref="A346" r:id="rId275" display="https://tfs.lmkr.net/tfs/web/UI/Pages/WorkItems/WorkItemEdit.aspx?id=23426&amp;pguid=cfec7082-5fcb-4dd8-a280-69cacc6e885d"/>
    <hyperlink ref="A347" r:id="rId276" display="https://tfs.lmkr.net/tfs/web/UI/Pages/WorkItems/WorkItemEdit.aspx?id=23389&amp;pguid=cfec7082-5fcb-4dd8-a280-69cacc6e885d"/>
    <hyperlink ref="A348" r:id="rId277" display="https://tfs.lmkr.net/tfs/web/UI/Pages/WorkItems/WorkItemEdit.aspx?id=23385&amp;pguid=cfec7082-5fcb-4dd8-a280-69cacc6e885d"/>
    <hyperlink ref="A350" r:id="rId278" display="https://tfs.lmkr.net/tfs/web/UI/Pages/WorkItems/WorkItemEdit.aspx?id=23293&amp;pguid=cfec7082-5fcb-4dd8-a280-69cacc6e885d"/>
    <hyperlink ref="A351" r:id="rId279" display="https://tfs.lmkr.net/tfs/web/UI/Pages/WorkItems/WorkItemEdit.aspx?id=23355&amp;pguid=cfec7082-5fcb-4dd8-a280-69cacc6e885d"/>
    <hyperlink ref="A352" r:id="rId280" display="https://tfs.lmkr.net/tfs/web/UI/Pages/WorkItems/WorkItemEdit.aspx?id=23356&amp;pguid=cfec7082-5fcb-4dd8-a280-69cacc6e885d"/>
    <hyperlink ref="A353" r:id="rId281" display="https://tfs.lmkr.net/tfs/web/UI/Pages/WorkItems/WorkItemEdit.aspx?id=23294&amp;pguid=cfec7082-5fcb-4dd8-a280-69cacc6e885d"/>
    <hyperlink ref="A358" r:id="rId282" display="https://tfs.lmkr.net/tfs/web/UI/Pages/WorkItems/WorkItemEdit.aspx?id=23376&amp;pguid=cfec7082-5fcb-4dd8-a280-69cacc6e885d"/>
    <hyperlink ref="A365" r:id="rId283" display="https://tfs.lmkr.net/tfs/web/UI/Pages/WorkItems/WorkItemEdit.aspx?id=23381&amp;pguid=cfec7082-5fcb-4dd8-a280-69cacc6e885d"/>
    <hyperlink ref="A364" r:id="rId284" display="https://tfs.lmkr.net/tfs/web/UI/Pages/WorkItems/WorkItemEdit.aspx?id=23380&amp;pguid=cfec7082-5fcb-4dd8-a280-69cacc6e885d"/>
    <hyperlink ref="A363" r:id="rId285" display="https://tfs.lmkr.net/tfs/web/UI/Pages/WorkItems/WorkItemEdit.aspx?id=23383&amp;pguid=cfec7082-5fcb-4dd8-a280-69cacc6e885d"/>
    <hyperlink ref="A362" r:id="rId286" display="https://tfs.lmkr.net/tfs/web/UI/Pages/WorkItems/WorkItemEdit.aspx?id=23379&amp;pguid=cfec7082-5fcb-4dd8-a280-69cacc6e885d"/>
    <hyperlink ref="A361" r:id="rId287" display="https://tfs.lmkr.net/tfs/web/UI/Pages/WorkItems/WorkItemEdit.aspx?id=23377&amp;pguid=cfec7082-5fcb-4dd8-a280-69cacc6e885d"/>
    <hyperlink ref="A360" r:id="rId288" display="https://tfs.lmkr.net/tfs/web/UI/Pages/WorkItems/WorkItemEdit.aspx?id=23378&amp;pguid=cfec7082-5fcb-4dd8-a280-69cacc6e885d"/>
    <hyperlink ref="A359" r:id="rId289" display="https://tfs.lmkr.net/tfs/web/UI/Pages/WorkItems/WorkItemEdit.aspx?id=23375&amp;pguid=cfec7082-5fcb-4dd8-a280-69cacc6e885d"/>
    <hyperlink ref="A367" r:id="rId290" display="https://tfs.lmkr.net/tfs/web/UI/Pages/WorkItems/WorkItemEdit.aspx?id=23372&amp;pguid=cfec7082-5fcb-4dd8-a280-69cacc6e885d"/>
    <hyperlink ref="A368" r:id="rId291" display="https://tfs.lmkr.net/tfs/web/UI/Pages/WorkItems/WorkItemEdit.aspx?id=23386&amp;pguid=cfec7082-5fcb-4dd8-a280-69cacc6e885d"/>
    <hyperlink ref="A369" r:id="rId292" display="https://tfs.lmkr.net/tfs/web/UI/Pages/WorkItems/WorkItemEdit.aspx?id=23382&amp;pguid=cfec7082-5fcb-4dd8-a280-69cacc6e885d"/>
    <hyperlink ref="A370" r:id="rId293" display="https://tfs.lmkr.net/tfs/web/UI/Pages/WorkItems/WorkItemEdit.aspx?id=23384&amp;pguid=cfec7082-5fcb-4dd8-a280-69cacc6e885d"/>
    <hyperlink ref="A371" r:id="rId294" display="https://tfs.lmkr.net/tfs/web/UI/Pages/WorkItems/WorkItemEdit.aspx?id=23387&amp;pguid=cfec7082-5fcb-4dd8-a280-69cacc6e885d"/>
    <hyperlink ref="A372" r:id="rId295" display="https://tfs.lmkr.net/tfs/web/UI/Pages/WorkItems/WorkItemEdit.aspx?id=23388&amp;pguid=cfec7082-5fcb-4dd8-a280-69cacc6e885d"/>
    <hyperlink ref="A373" r:id="rId296" display="https://tfs.lmkr.net/tfs/web/UI/Pages/WorkItems/WorkItemEdit.aspx?id=23391&amp;pguid=cfec7082-5fcb-4dd8-a280-69cacc6e885d"/>
    <hyperlink ref="A374" r:id="rId297" display="https://tfs.lmkr.net/tfs/web/UI/Pages/WorkItems/WorkItemEdit.aspx?id=23389&amp;pguid=cfec7082-5fcb-4dd8-a280-69cacc6e885d"/>
    <hyperlink ref="A375" r:id="rId298" display="https://tfs.lmkr.net/tfs/web/UI/Pages/WorkItems/WorkItemEdit.aspx?id=23385&amp;pguid=cfec7082-5fcb-4dd8-a280-69cacc6e885d"/>
    <hyperlink ref="A377" r:id="rId299" display="https://tfs.lmkr.net/tfs/web/UI/Pages/WorkItems/WorkItemEdit.aspx?id=23293&amp;pguid=cfec7082-5fcb-4dd8-a280-69cacc6e885d"/>
    <hyperlink ref="A378" r:id="rId300" display="https://tfs.lmkr.net/tfs/web/UI/Pages/WorkItems/WorkItemEdit.aspx?id=23294&amp;pguid=cfec7082-5fcb-4dd8-a280-69cacc6e885d"/>
    <hyperlink ref="A379" r:id="rId301" display="https://tfs.lmkr.net/tfs/web/UI/Pages/WorkItems/WorkItemEdit.aspx?id=23355&amp;pguid=cfec7082-5fcb-4dd8-a280-69cacc6e885d"/>
    <hyperlink ref="A380" r:id="rId302" display="https://tfs.lmkr.net/tfs/web/UI/Pages/WorkItems/WorkItemEdit.aspx?id=23356&amp;pguid=cfec7082-5fcb-4dd8-a280-69cacc6e885d"/>
    <hyperlink ref="A385" r:id="rId303" display="https://tfs.lmkr.net/tfs/web/UI/Pages/WorkItems/WorkItemEdit.aspx?id=24909&amp;pguid=cfec7082-5fcb-4dd8-a280-69cacc6e885d"/>
    <hyperlink ref="A386" r:id="rId304" display="https://tfs.lmkr.net/tfs/web/UI/Pages/WorkItems/WorkItemEdit.aspx?id=25085&amp;pguid=cfec7082-5fcb-4dd8-a280-69cacc6e885d"/>
    <hyperlink ref="A388" r:id="rId305" display="https://tfs.lmkr.net/tfs/web/UI/Pages/WorkItems/WorkItemEdit.aspx?id=24840&amp;pguid=cfec7082-5fcb-4dd8-a280-69cacc6e885d"/>
    <hyperlink ref="A389" r:id="rId306" display="https://tfs.lmkr.net/tfs/web/UI/Pages/WorkItems/WorkItemEdit.aspx?id=24839&amp;pguid=cfec7082-5fcb-4dd8-a280-69cacc6e885d"/>
    <hyperlink ref="A390" r:id="rId307" display="https://tfs.lmkr.net/tfs/web/UI/Pages/WorkItems/WorkItemEdit.aspx?id=24932&amp;pguid=cfec7082-5fcb-4dd8-a280-69cacc6e885d"/>
    <hyperlink ref="A391" r:id="rId308" display="https://tfs.lmkr.net/tfs/web/UI/Pages/WorkItems/WorkItemEdit.aspx?id=24836&amp;pguid=cfec7082-5fcb-4dd8-a280-69cacc6e885d"/>
    <hyperlink ref="A393" r:id="rId309" display="https://tfs.lmkr.net/tfs/web/UI/Pages/WorkItems/WorkItemEdit.aspx?id=25084&amp;pguid=cfec7082-5fcb-4dd8-a280-69cacc6e885d"/>
    <hyperlink ref="A394" r:id="rId310" display="https://tfs.lmkr.net/tfs/web/UI/Pages/WorkItems/WorkItemEdit.aspx?id=24836&amp;pguid=cfec7082-5fcb-4dd8-a280-69cacc6e885d"/>
    <hyperlink ref="A396" r:id="rId311" display="https://tfs.lmkr.net/tfs/web/UI/Pages/WorkItems/WorkItemEdit.aspx?id=24841&amp;pguid=cfec7082-5fcb-4dd8-a280-69cacc6e885d"/>
    <hyperlink ref="A397" r:id="rId312" display="https://tfs.lmkr.net/tfs/web/UI/Pages/WorkItems/WorkItemEdit.aspx?id=24863&amp;pguid=cfec7082-5fcb-4dd8-a280-69cacc6e885d"/>
    <hyperlink ref="A398" r:id="rId313" display="https://tfs.lmkr.net/tfs/web/UI/Pages/WorkItems/WorkItemEdit.aspx?id=24878&amp;pguid=cfec7082-5fcb-4dd8-a280-69cacc6e885d"/>
    <hyperlink ref="A399" r:id="rId314" display="https://tfs.lmkr.net/tfs/web/UI/Pages/WorkItems/WorkItemEdit.aspx?id=24837&amp;pguid=cfec7082-5fcb-4dd8-a280-69cacc6e885d"/>
    <hyperlink ref="A400" r:id="rId315" display="https://tfs.lmkr.net/tfs/web/UI/Pages/WorkItems/WorkItemEdit.aspx?id=24842&amp;pguid=cfec7082-5fcb-4dd8-a280-69cacc6e885d"/>
    <hyperlink ref="A401" r:id="rId316" display="https://tfs.lmkr.net/tfs/web/UI/Pages/WorkItems/WorkItemEdit.aspx?id=24838&amp;pguid=cfec7082-5fcb-4dd8-a280-69cacc6e885d"/>
    <hyperlink ref="A403" r:id="rId317" display="https://tfs.lmkr.net/tfs/web/UI/Pages/WorkItems/WorkItemEdit.aspx?id=24858&amp;pguid=cfec7082-5fcb-4dd8-a280-69cacc6e885d"/>
    <hyperlink ref="A404" r:id="rId318" display="https://tfs.lmkr.net/tfs/web/UI/Pages/WorkItems/WorkItemEdit.aspx?id=24859&amp;pguid=cfec7082-5fcb-4dd8-a280-69cacc6e885d"/>
    <hyperlink ref="A405" r:id="rId319" display="https://tfs.lmkr.net/tfs/web/UI/Pages/WorkItems/WorkItemEdit.aspx?id=24862&amp;pguid=cfec7082-5fcb-4dd8-a280-69cacc6e885d"/>
    <hyperlink ref="A406" r:id="rId320" display="https://tfs.lmkr.net/tfs/web/UI/Pages/WorkItems/WorkItemEdit.aspx?id=24865&amp;pguid=cfec7082-5fcb-4dd8-a280-69cacc6e885d"/>
    <hyperlink ref="A408" r:id="rId321" display="https://tfs.lmkr.net/tfs/web/UI/Pages/WorkItems/WorkItemEdit.aspx?id=24864&amp;pguid=cfec7082-5fcb-4dd8-a280-69cacc6e885d"/>
    <hyperlink ref="A409" r:id="rId322" display="https://tfs.lmkr.net/tfs/web/UI/Pages/WorkItems/WorkItemEdit.aspx?id=24860&amp;pguid=cfec7082-5fcb-4dd8-a280-69cacc6e885d"/>
    <hyperlink ref="A410" r:id="rId323" display="https://tfs.lmkr.net/tfs/web/UI/Pages/WorkItems/WorkItemEdit.aspx?id=24929&amp;pguid=cfec7082-5fcb-4dd8-a280-69cacc6e885d"/>
    <hyperlink ref="A412" r:id="rId324" display="https://tfs.lmkr.net/tfs/web/UI/Pages/WorkItems/WorkItemEdit.aspx?id=24922&amp;pguid=cfec7082-5fcb-4dd8-a280-69cacc6e885d"/>
    <hyperlink ref="A413" r:id="rId325" display="https://tfs.lmkr.net/tfs/web/UI/Pages/WorkItems/WorkItemEdit.aspx?id=24923&amp;pguid=cfec7082-5fcb-4dd8-a280-69cacc6e885d"/>
    <hyperlink ref="A414" r:id="rId326" display="https://tfs.lmkr.net/tfs/web/UI/Pages/WorkItems/WorkItemEdit.aspx?id=24924&amp;pguid=cfec7082-5fcb-4dd8-a280-69cacc6e885d"/>
    <hyperlink ref="A415" r:id="rId327" display="https://tfs.lmkr.net/tfs/web/UI/Pages/WorkItems/WorkItemEdit.aspx?id=24925&amp;pguid=cfec7082-5fcb-4dd8-a280-69cacc6e885d"/>
    <hyperlink ref="A416" r:id="rId328" display="https://tfs.lmkr.net/tfs/web/UI/Pages/WorkItems/WorkItemEdit.aspx?id=25086&amp;pguid=cfec7082-5fcb-4dd8-a280-69cacc6e885d"/>
    <hyperlink ref="A418" r:id="rId329" display="https://tfs.lmkr.net/tfs/web/UI/Pages/WorkItems/WorkItemEdit.aspx?id=25068&amp;pguid=cfec7082-5fcb-4dd8-a280-69cacc6e885d"/>
    <hyperlink ref="A417" r:id="rId330" display="https://tfs.lmkr.net/tfs/web/UI/Pages/WorkItems/WorkItemEdit.aspx?id=32012&amp;pguid=cfec7082-5fcb-4dd8-a280-69cacc6e885d"/>
    <hyperlink ref="A419" r:id="rId331" display="https://tfs.lmkr.net/tfs/web/UI/Pages/WorkItems/WorkItemEdit.aspx?id=25069&amp;pguid=cfec7082-5fcb-4dd8-a280-69cacc6e885d"/>
    <hyperlink ref="A420" r:id="rId332" display="https://tfs.lmkr.net/tfs/web/UI/Pages/WorkItems/WorkItemEdit.aspx?id=25074&amp;pguid=cfec7082-5fcb-4dd8-a280-69cacc6e885d"/>
    <hyperlink ref="A425" r:id="rId333" display="https://tfs.lmkr.net/tfs/web/UI/Pages/WorkItems/WorkItemEdit.aspx?id=24841&amp;pguid=cfec7082-5fcb-4dd8-a280-69cacc6e885d"/>
    <hyperlink ref="A426" r:id="rId334" display="https://tfs.lmkr.net/tfs/web/UI/Pages/WorkItems/WorkItemEdit.aspx?id=24863&amp;pguid=cfec7082-5fcb-4dd8-a280-69cacc6e885d"/>
    <hyperlink ref="A427" r:id="rId335" display="https://tfs.lmkr.net/tfs/web/UI/Pages/WorkItems/WorkItemEdit.aspx?id=24878&amp;pguid=cfec7082-5fcb-4dd8-a280-69cacc6e885d"/>
    <hyperlink ref="A428" r:id="rId336" display="https://tfs.lmkr.net/tfs/web/UI/Pages/WorkItems/WorkItemEdit.aspx?id=24837&amp;pguid=cfec7082-5fcb-4dd8-a280-69cacc6e885d"/>
    <hyperlink ref="A429" r:id="rId337" display="https://tfs.lmkr.net/tfs/web/UI/Pages/WorkItems/WorkItemEdit.aspx?id=24842&amp;pguid=cfec7082-5fcb-4dd8-a280-69cacc6e885d"/>
    <hyperlink ref="A430" r:id="rId338" display="https://tfs.lmkr.net/tfs/web/UI/Pages/WorkItems/WorkItemEdit.aspx?id=24838&amp;pguid=cfec7082-5fcb-4dd8-a280-69cacc6e885d"/>
    <hyperlink ref="A423" r:id="rId339" display="https://tfs.lmkr.net/tfs/web/UI/Pages/WorkItems/WorkItemEdit.aspx?id=24836&amp;pguid=cfec7082-5fcb-4dd8-a280-69cacc6e885d"/>
    <hyperlink ref="A432" r:id="rId340" display="https://tfs.lmkr.net/tfs/web/UI/Pages/WorkItems/WorkItemEdit.aspx?id=25085&amp;pguid=cfec7082-5fcb-4dd8-a280-69cacc6e885d"/>
    <hyperlink ref="A421" r:id="rId341" location="_a=edit&amp;id=29016&amp;triage=true" display="https://tfs.lmkr.net/tfs/DefaultCollection/LMKR/Testing/_workitems - _a=edit&amp;id=29016&amp;triage=true"/>
    <hyperlink ref="A437" r:id="rId342" display="https://tfs.lmkr.net/tfs/web/UI/Pages/WorkItems/WorkItemEdit.aspx?id=25590&amp;pguid=cfec7082-5fcb-4dd8-a280-69cacc6e885d"/>
    <hyperlink ref="A438" r:id="rId343" display="https://tfs.lmkr.net/tfs/web/UI/Pages/WorkItems/WorkItemEdit.aspx?id=25591&amp;pguid=cfec7082-5fcb-4dd8-a280-69cacc6e885d"/>
    <hyperlink ref="A439" r:id="rId344" display="https://tfs.lmkr.net/tfs/web/UI/Pages/WorkItems/WorkItemEdit.aspx?id=25592&amp;pguid=cfec7082-5fcb-4dd8-a280-69cacc6e885d"/>
    <hyperlink ref="A440" r:id="rId345" display="https://tfs.lmkr.net/tfs/web/UI/Pages/WorkItems/WorkItemEdit.aspx?id=25600&amp;pguid=cfec7082-5fcb-4dd8-a280-69cacc6e885d"/>
    <hyperlink ref="A441" r:id="rId346" display="https://tfs.lmkr.net/tfs/web/UI/Pages/WorkItems/WorkItemEdit.aspx?id=25642&amp;pguid=cfec7082-5fcb-4dd8-a280-69cacc6e885d"/>
    <hyperlink ref="A442" r:id="rId347" display="https://tfs.lmkr.net/tfs/web/UI/Pages/WorkItems/WorkItemEdit.aspx?id=25643&amp;pguid=cfec7082-5fcb-4dd8-a280-69cacc6e885d"/>
    <hyperlink ref="A443" r:id="rId348" display="https://tfs.lmkr.net/tfs/web/UI/Pages/WorkItems/WorkItemEdit.aspx?id=25644&amp;pguid=cfec7082-5fcb-4dd8-a280-69cacc6e885d"/>
    <hyperlink ref="A444" r:id="rId349" display="https://tfs.lmkr.net/tfs/web/UI/Pages/WorkItems/WorkItemEdit.aspx?id=25570&amp;pguid=cfec7082-5fcb-4dd8-a280-69cacc6e885d"/>
    <hyperlink ref="A445" r:id="rId350" display="https://tfs.lmkr.net/tfs/web/UI/Pages/WorkItems/WorkItemEdit.aspx?id=25571&amp;pguid=cfec7082-5fcb-4dd8-a280-69cacc6e885d"/>
    <hyperlink ref="A446" r:id="rId351" display="https://tfs.lmkr.net/tfs/web/UI/Pages/WorkItems/WorkItemEdit.aspx?id=25530&amp;pguid=cfec7082-5fcb-4dd8-a280-69cacc6e885d"/>
    <hyperlink ref="A447" r:id="rId352" display="https://tfs.lmkr.net/tfs/web/UI/Pages/WorkItems/WorkItemEdit.aspx?id=25582&amp;pguid=cfec7082-5fcb-4dd8-a280-69cacc6e885d"/>
    <hyperlink ref="A448" r:id="rId353" display="https://tfs.lmkr.net/tfs/web/UI/Pages/WorkItems/WorkItemEdit.aspx?id=25576&amp;pguid=cfec7082-5fcb-4dd8-a280-69cacc6e885d"/>
    <hyperlink ref="A449" r:id="rId354" display="https://tfs.lmkr.net/tfs/web/UI/Pages/WorkItems/WorkItemEdit.aspx?id=25560&amp;pguid=cfec7082-5fcb-4dd8-a280-69cacc6e885d"/>
    <hyperlink ref="A450" r:id="rId355" display="https://tfs.lmkr.net/tfs/web/UI/Pages/WorkItems/WorkItemEdit.aspx?id=25635&amp;pguid=cfec7082-5fcb-4dd8-a280-69cacc6e885d"/>
    <hyperlink ref="A451" r:id="rId356" display="https://tfs.lmkr.net/tfs/web/UI/Pages/WorkItems/WorkItemEdit.aspx?id=25564&amp;pguid=cfec7082-5fcb-4dd8-a280-69cacc6e885d"/>
    <hyperlink ref="A452" r:id="rId357" display="https://tfs.lmkr.net/tfs/web/UI/Pages/WorkItems/WorkItemEdit.aspx?id=25626&amp;pguid=cfec7082-5fcb-4dd8-a280-69cacc6e885d"/>
    <hyperlink ref="A453" r:id="rId358" display="https://tfs.lmkr.net/tfs/web/UI/Pages/WorkItems/WorkItemEdit.aspx?id=25581&amp;pguid=cfec7082-5fcb-4dd8-a280-69cacc6e885d"/>
    <hyperlink ref="A454" r:id="rId359" display="https://tfs.lmkr.net/tfs/web/UI/Pages/WorkItems/WorkItemEdit.aspx?id=25563&amp;pguid=cfec7082-5fcb-4dd8-a280-69cacc6e885d"/>
    <hyperlink ref="A455" r:id="rId360" display="https://tfs.lmkr.net/tfs/web/UI/Pages/WorkItems/WorkItemEdit.aspx?id=25532&amp;pguid=cfec7082-5fcb-4dd8-a280-69cacc6e885d"/>
    <hyperlink ref="A456" r:id="rId361" display="https://tfs.lmkr.net/tfs/web/UI/Pages/WorkItems/WorkItemEdit.aspx?id=25575&amp;pguid=cfec7082-5fcb-4dd8-a280-69cacc6e885d"/>
    <hyperlink ref="A457" r:id="rId362" display="https://tfs.lmkr.net/tfs/web/UI/Pages/WorkItems/WorkItemEdit.aspx?id=25583&amp;pguid=cfec7082-5fcb-4dd8-a280-69cacc6e885d"/>
    <hyperlink ref="A458" r:id="rId363" display="https://tfs.lmkr.net/tfs/web/UI/Pages/WorkItems/WorkItemEdit.aspx?id=25553&amp;pguid=cfec7082-5fcb-4dd8-a280-69cacc6e885d"/>
    <hyperlink ref="A460" r:id="rId364" display="https://tfs.lmkr.net/tfs/web/UI/Pages/WorkItems/WorkItemEdit.aspx?id=25528&amp;pguid=cfec7082-5fcb-4dd8-a280-69cacc6e885d"/>
    <hyperlink ref="A462" r:id="rId365" display="https://tfs.lmkr.net/tfs/web/wi.aspx?pcguid=30018faa-01b3-4ccb-92ec-14a111542996&amp;id=32105"/>
    <hyperlink ref="A463" r:id="rId366" display="https://tfs.lmkr.net/tfs/web/UI/Pages/WorkItems/WorkItemEdit.aspx?id=32083&amp;pguid=cfec7082-5fcb-4dd8-a280-69cacc6e885d"/>
    <hyperlink ref="A464" r:id="rId367" display="https://tfs.lmkr.net/tfs/web/UI/Pages/WorkItems/WorkItemEdit.aspx?id=32086&amp;pguid=cfec7082-5fcb-4dd8-a280-69cacc6e885d"/>
    <hyperlink ref="A466" r:id="rId368" display="https://tfs.lmkr.net/tfs/web/UI/Pages/WorkItems/WorkItemEdit.aspx?id=32108&amp;pguid=cfec7082-5fcb-4dd8-a280-69cacc6e885d"/>
    <hyperlink ref="A465" r:id="rId369" display="https://tfs.lmkr.net/tfs/web/UI/Pages/WorkItems/WorkItemEdit.aspx?id=28362&amp;pguid=cfec7082-5fcb-4dd8-a280-69cacc6e885d"/>
    <hyperlink ref="A468" r:id="rId370" display="https://tfs.lmkr.net/tfs/web/UI/Pages/WorkItems/WorkItemEdit.aspx?id=33253&amp;pguid=cfec7082-5fcb-4dd8-a280-69cacc6e885d"/>
    <hyperlink ref="A475" r:id="rId371" display="https://tfs.lmkr.net/tfs/web/UI/Pages/WorkItems/WorkItemEdit.aspx?id=25590&amp;pguid=cfec7082-5fcb-4dd8-a280-69cacc6e885d"/>
    <hyperlink ref="A476" r:id="rId372" display="https://tfs.lmkr.net/tfs/web/UI/Pages/WorkItems/WorkItemEdit.aspx?id=25591&amp;pguid=cfec7082-5fcb-4dd8-a280-69cacc6e885d"/>
    <hyperlink ref="A477" r:id="rId373" display="https://tfs.lmkr.net/tfs/web/UI/Pages/WorkItems/WorkItemEdit.aspx?id=25592&amp;pguid=cfec7082-5fcb-4dd8-a280-69cacc6e885d"/>
    <hyperlink ref="A478" r:id="rId374" display="https://tfs.lmkr.net/tfs/web/UI/Pages/WorkItems/WorkItemEdit.aspx?id=25600&amp;pguid=cfec7082-5fcb-4dd8-a280-69cacc6e885d"/>
    <hyperlink ref="A479" r:id="rId375" display="https://tfs.lmkr.net/tfs/web/UI/Pages/WorkItems/WorkItemEdit.aspx?id=25642&amp;pguid=cfec7082-5fcb-4dd8-a280-69cacc6e885d"/>
    <hyperlink ref="A480" r:id="rId376" display="https://tfs.lmkr.net/tfs/web/UI/Pages/WorkItems/WorkItemEdit.aspx?id=25564&amp;pguid=cfec7082-5fcb-4dd8-a280-69cacc6e885d"/>
    <hyperlink ref="A481" r:id="rId377" display="https://tfs.lmkr.net/tfs/web/UI/Pages/WorkItems/WorkItemEdit.aspx?id=25532&amp;pguid=cfec7082-5fcb-4dd8-a280-69cacc6e885d"/>
    <hyperlink ref="A482" r:id="rId378" display="https://tfs.lmkr.net/tfs/web/UI/Pages/WorkItems/WorkItemEdit.aspx?id=25563&amp;pguid=cfec7082-5fcb-4dd8-a280-69cacc6e885d"/>
    <hyperlink ref="A483" r:id="rId379" display="https://tfs.lmkr.net/tfs/web/UI/Pages/WorkItems/WorkItemEdit.aspx?id=25560&amp;pguid=cfec7082-5fcb-4dd8-a280-69cacc6e885d"/>
    <hyperlink ref="A484" r:id="rId380" display="https://tfs.lmkr.net/tfs/web/UI/Pages/WorkItems/WorkItemEdit.aspx?id=25553&amp;pguid=cfec7082-5fcb-4dd8-a280-69cacc6e885d"/>
    <hyperlink ref="A485" r:id="rId381" display="https://tfs.lmkr.net/tfs/web/UI/Pages/WorkItems/WorkItemEdit.aspx?id=25528&amp;pguid=cfec7082-5fcb-4dd8-a280-69cacc6e885d"/>
    <hyperlink ref="A459" r:id="rId382" display="https://tfs.lmkr.net/tfs/web/UI/Pages/WorkItems/WorkItemEdit.aspx?id=25547&amp;pguid=cfec7082-5fcb-4dd8-a280-69cacc6e885d"/>
    <hyperlink ref="A490" r:id="rId383" display="https://tfs.lmkr.net/tfs/web/UI/Pages/WorkItems/WorkItemEdit.aspx?id=25491&amp;pguid=cfec7082-5fcb-4dd8-a280-69cacc6e885d"/>
    <hyperlink ref="A491" r:id="rId384" display="https://tfs.lmkr.net/tfs/web/UI/Pages/WorkItems/WorkItemEdit.aspx?id=25512&amp;pguid=cfec7082-5fcb-4dd8-a280-69cacc6e885d"/>
    <hyperlink ref="A493" r:id="rId385" display="https://tfs.lmkr.net/tfs/web/UI/Pages/WorkItems/WorkItemEdit.aspx?id=25514&amp;pguid=cfec7082-5fcb-4dd8-a280-69cacc6e885d"/>
    <hyperlink ref="A494" r:id="rId386" display="https://tfs.lmkr.net/tfs/web/UI/Pages/WorkItems/WorkItemEdit.aspx?id=25515&amp;pguid=cfec7082-5fcb-4dd8-a280-69cacc6e885d"/>
    <hyperlink ref="A495" r:id="rId387" display="https://tfs.lmkr.net/tfs/web/UI/Pages/WorkItems/WorkItemEdit.aspx?id=25513&amp;pguid=cfec7082-5fcb-4dd8-a280-69cacc6e885d"/>
    <hyperlink ref="A496" r:id="rId388" display="https://tfs.lmkr.net/tfs/web/UI/Pages/WorkItems/WorkItemEdit.aspx?id=25516&amp;pguid=cfec7082-5fcb-4dd8-a280-69cacc6e885d"/>
    <hyperlink ref="A498" r:id="rId389" display="https://tfs.lmkr.net/tfs/web/UI/Pages/WorkItems/WorkItemEdit.aspx?id=25491&amp;pguid=cfec7082-5fcb-4dd8-a280-69cacc6e885d"/>
    <hyperlink ref="A499" r:id="rId390" display="https://tfs.lmkr.net/tfs/web/UI/Pages/WorkItems/WorkItemEdit.aspx?id=25512&amp;pguid=cfec7082-5fcb-4dd8-a280-69cacc6e885d"/>
    <hyperlink ref="A501" r:id="rId391" display="https://tfs.lmkr.net/tfs/web/UI/Pages/WorkItems/WorkItemEdit.aspx?id=25514&amp;pguid=cfec7082-5fcb-4dd8-a280-69cacc6e885d"/>
    <hyperlink ref="A502" r:id="rId392" display="https://tfs.lmkr.net/tfs/web/UI/Pages/WorkItems/WorkItemEdit.aspx?id=25515&amp;pguid=cfec7082-5fcb-4dd8-a280-69cacc6e885d"/>
    <hyperlink ref="A503" r:id="rId393" display="https://tfs.lmkr.net/tfs/web/UI/Pages/WorkItems/WorkItemEdit.aspx?id=25513&amp;pguid=cfec7082-5fcb-4dd8-a280-69cacc6e885d"/>
    <hyperlink ref="A504" r:id="rId394" display="https://tfs.lmkr.net/tfs/web/UI/Pages/WorkItems/WorkItemEdit.aspx?id=25516&amp;pguid=cfec7082-5fcb-4dd8-a280-69cacc6e885d"/>
    <hyperlink ref="A492" r:id="rId395" display="https://tfs.lmkr.net/tfs/web/UI/Pages/WorkItems/WorkItemEdit.aspx?id=33019&amp;pguid=cfec7082-5fcb-4dd8-a280-69cacc6e885d"/>
    <hyperlink ref="A500" r:id="rId396" display="https://tfs.lmkr.net/tfs/web/UI/Pages/WorkItems/WorkItemEdit.aspx?id=33019&amp;pguid=cfec7082-5fcb-4dd8-a280-69cacc6e885d"/>
    <hyperlink ref="A506" r:id="rId397" display="https://tfs.lmkr.net/tfs/web/UI/Pages/WorkItems/WorkItemEdit.aspx?id=25491&amp;pguid=cfec7082-5fcb-4dd8-a280-69cacc6e885d"/>
    <hyperlink ref="A507" r:id="rId398" display="https://tfs.lmkr.net/tfs/web/UI/Pages/WorkItems/WorkItemEdit.aspx?id=25512&amp;pguid=cfec7082-5fcb-4dd8-a280-69cacc6e885d"/>
    <hyperlink ref="A509" r:id="rId399" display="https://tfs.lmkr.net/tfs/web/UI/Pages/WorkItems/WorkItemEdit.aspx?id=25514&amp;pguid=cfec7082-5fcb-4dd8-a280-69cacc6e885d"/>
    <hyperlink ref="A510" r:id="rId400" display="https://tfs.lmkr.net/tfs/web/UI/Pages/WorkItems/WorkItemEdit.aspx?id=25515&amp;pguid=cfec7082-5fcb-4dd8-a280-69cacc6e885d"/>
    <hyperlink ref="A511" r:id="rId401" display="https://tfs.lmkr.net/tfs/web/UI/Pages/WorkItems/WorkItemEdit.aspx?id=25513&amp;pguid=cfec7082-5fcb-4dd8-a280-69cacc6e885d"/>
    <hyperlink ref="A512" r:id="rId402" display="https://tfs.lmkr.net/tfs/web/UI/Pages/WorkItems/WorkItemEdit.aspx?id=25516&amp;pguid=cfec7082-5fcb-4dd8-a280-69cacc6e885d"/>
    <hyperlink ref="A514" r:id="rId403" display="https://tfs.lmkr.net/tfs/web/UI/Pages/WorkItems/WorkItemEdit.aspx?id=25491&amp;pguid=cfec7082-5fcb-4dd8-a280-69cacc6e885d"/>
    <hyperlink ref="A515" r:id="rId404" display="https://tfs.lmkr.net/tfs/web/UI/Pages/WorkItems/WorkItemEdit.aspx?id=25512&amp;pguid=cfec7082-5fcb-4dd8-a280-69cacc6e885d"/>
    <hyperlink ref="A517" r:id="rId405" display="https://tfs.lmkr.net/tfs/web/UI/Pages/WorkItems/WorkItemEdit.aspx?id=25514&amp;pguid=cfec7082-5fcb-4dd8-a280-69cacc6e885d"/>
    <hyperlink ref="A518" r:id="rId406" display="https://tfs.lmkr.net/tfs/web/UI/Pages/WorkItems/WorkItemEdit.aspx?id=25515&amp;pguid=cfec7082-5fcb-4dd8-a280-69cacc6e885d"/>
    <hyperlink ref="A519" r:id="rId407" display="https://tfs.lmkr.net/tfs/web/UI/Pages/WorkItems/WorkItemEdit.aspx?id=25513&amp;pguid=cfec7082-5fcb-4dd8-a280-69cacc6e885d"/>
    <hyperlink ref="A520" r:id="rId408" display="https://tfs.lmkr.net/tfs/web/UI/Pages/WorkItems/WorkItemEdit.aspx?id=25516&amp;pguid=cfec7082-5fcb-4dd8-a280-69cacc6e885d"/>
    <hyperlink ref="A508" r:id="rId409" display="https://tfs.lmkr.net/tfs/web/UI/Pages/WorkItems/WorkItemEdit.aspx?id=33019&amp;pguid=cfec7082-5fcb-4dd8-a280-69cacc6e885d"/>
    <hyperlink ref="A516" r:id="rId410" display="https://tfs.lmkr.net/tfs/web/UI/Pages/WorkItems/WorkItemEdit.aspx?id=33019&amp;pguid=cfec7082-5fcb-4dd8-a280-69cacc6e885d"/>
  </hyperlinks>
  <pageMargins left="0.7" right="0.7" top="0.75" bottom="0.75" header="0.3" footer="0.3"/>
  <pageSetup orientation="portrait" r:id="rId411"/>
  <tableParts count="7">
    <tablePart r:id="rId412"/>
    <tablePart r:id="rId413"/>
    <tablePart r:id="rId414"/>
    <tablePart r:id="rId415"/>
    <tablePart r:id="rId416"/>
    <tablePart r:id="rId417"/>
    <tablePart r:id="rId41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7"/>
  <sheetViews>
    <sheetView showGridLines="0" workbookViewId="0">
      <selection activeCell="B32" sqref="B32"/>
    </sheetView>
  </sheetViews>
  <sheetFormatPr defaultRowHeight="15" x14ac:dyDescent="0.25"/>
  <cols>
    <col min="1" max="1" width="60" customWidth="1"/>
    <col min="3" max="3" width="31.7109375" bestFit="1" customWidth="1"/>
    <col min="5" max="5" width="15.85546875" customWidth="1"/>
    <col min="7" max="7" width="15.42578125" customWidth="1"/>
    <col min="8" max="8" width="10" customWidth="1"/>
    <col min="9" max="9" width="23.42578125" customWidth="1"/>
    <col min="11" max="11" width="16.140625" customWidth="1"/>
  </cols>
  <sheetData>
    <row r="1" spans="1:11" x14ac:dyDescent="0.25">
      <c r="A1" s="168" t="s">
        <v>425</v>
      </c>
      <c r="C1" s="168" t="s">
        <v>426</v>
      </c>
      <c r="E1" s="165" t="s">
        <v>507</v>
      </c>
      <c r="G1" s="165" t="s">
        <v>508</v>
      </c>
      <c r="I1" s="165" t="s">
        <v>510</v>
      </c>
      <c r="K1" s="97" t="s">
        <v>556</v>
      </c>
    </row>
    <row r="2" spans="1:11" x14ac:dyDescent="0.25">
      <c r="A2" s="239" t="s">
        <v>3</v>
      </c>
      <c r="C2" s="169" t="s">
        <v>233</v>
      </c>
      <c r="E2" s="166" t="b">
        <v>1</v>
      </c>
      <c r="G2" s="166" t="b">
        <v>1</v>
      </c>
      <c r="I2" s="166" t="s">
        <v>512</v>
      </c>
      <c r="K2" s="97" t="s">
        <v>422</v>
      </c>
    </row>
    <row r="3" spans="1:11" x14ac:dyDescent="0.25">
      <c r="A3" s="239" t="s">
        <v>5</v>
      </c>
      <c r="C3" s="169" t="s">
        <v>232</v>
      </c>
      <c r="E3" s="167" t="b">
        <v>0</v>
      </c>
      <c r="G3" s="167" t="b">
        <v>0</v>
      </c>
      <c r="I3" s="166" t="s">
        <v>513</v>
      </c>
      <c r="K3" s="97" t="s">
        <v>297</v>
      </c>
    </row>
    <row r="4" spans="1:11" x14ac:dyDescent="0.25">
      <c r="A4" s="239" t="s">
        <v>7</v>
      </c>
      <c r="C4" s="169" t="s">
        <v>231</v>
      </c>
      <c r="I4" s="167" t="s">
        <v>514</v>
      </c>
      <c r="K4" s="97" t="s">
        <v>423</v>
      </c>
    </row>
    <row r="5" spans="1:11" x14ac:dyDescent="0.25">
      <c r="A5" s="239" t="s">
        <v>10</v>
      </c>
      <c r="C5" s="170" t="s">
        <v>424</v>
      </c>
      <c r="K5" s="97" t="s">
        <v>557</v>
      </c>
    </row>
    <row r="6" spans="1:11" x14ac:dyDescent="0.25">
      <c r="A6" s="239" t="s">
        <v>6</v>
      </c>
      <c r="C6" s="265" t="s">
        <v>605</v>
      </c>
    </row>
    <row r="7" spans="1:11" x14ac:dyDescent="0.25">
      <c r="A7" s="239" t="s">
        <v>8</v>
      </c>
    </row>
    <row r="8" spans="1:11" x14ac:dyDescent="0.25">
      <c r="A8" s="266" t="s">
        <v>9</v>
      </c>
    </row>
    <row r="9" spans="1:11" x14ac:dyDescent="0.25">
      <c r="A9" s="240" t="s">
        <v>11</v>
      </c>
    </row>
    <row r="10" spans="1:11" x14ac:dyDescent="0.25">
      <c r="A10" s="267"/>
    </row>
    <row r="11" spans="1:11" x14ac:dyDescent="0.25">
      <c r="A11" s="268" t="s">
        <v>607</v>
      </c>
    </row>
    <row r="12" spans="1:11" ht="30" x14ac:dyDescent="0.25">
      <c r="A12" s="269" t="s">
        <v>606</v>
      </c>
    </row>
    <row r="13" spans="1:11" x14ac:dyDescent="0.25">
      <c r="A13" s="267"/>
    </row>
    <row r="14" spans="1:11" x14ac:dyDescent="0.25">
      <c r="A14" s="267"/>
    </row>
    <row r="15" spans="1:11" x14ac:dyDescent="0.25">
      <c r="A15" s="267"/>
    </row>
    <row r="16" spans="1:11" x14ac:dyDescent="0.25">
      <c r="A16" s="267"/>
    </row>
    <row r="17" spans="1:1" x14ac:dyDescent="0.25">
      <c r="A17" s="267"/>
    </row>
    <row r="18" spans="1:1" x14ac:dyDescent="0.25">
      <c r="A18" s="267"/>
    </row>
    <row r="37" spans="1:1" x14ac:dyDescent="0.25">
      <c r="A37" s="238"/>
    </row>
  </sheetData>
  <conditionalFormatting sqref="A3:A4 A6:A7">
    <cfRule type="expression" dxfId="34" priority="7" stopIfTrue="1">
      <formula>(#REF! = "Closed")</formula>
    </cfRule>
  </conditionalFormatting>
  <pageMargins left="0.7" right="0.7" top="0.75" bottom="0.75" header="0.3" footer="0.3"/>
  <pageSetup orientation="portrait" r:id="rId1"/>
  <tableParts count="6">
    <tablePart r:id="rId2"/>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outlinePr summaryBelow="0" summaryRight="0"/>
  </sheetPr>
  <dimension ref="A1:N29"/>
  <sheetViews>
    <sheetView showGridLines="0" showRowColHeaders="0" zoomScale="70" zoomScaleNormal="70" workbookViewId="0">
      <selection activeCell="I40" sqref="I40"/>
    </sheetView>
  </sheetViews>
  <sheetFormatPr defaultRowHeight="15" x14ac:dyDescent="0.25"/>
  <cols>
    <col min="1" max="1" width="39.5703125" style="2" customWidth="1"/>
    <col min="2" max="2" width="16.5703125" style="2" customWidth="1"/>
    <col min="3" max="3" width="15.85546875" style="2" customWidth="1"/>
    <col min="4" max="4" width="19.7109375" style="16" customWidth="1"/>
    <col min="5" max="5" width="21.7109375" style="2" customWidth="1" collapsed="1"/>
    <col min="6" max="6" width="24.85546875" style="2" customWidth="1"/>
    <col min="7" max="7" width="26.85546875" style="4" customWidth="1"/>
    <col min="8" max="8" width="23.140625" style="4" customWidth="1"/>
    <col min="9" max="9" width="26.42578125" style="5" customWidth="1"/>
    <col min="10" max="10" width="16.5703125" style="2" customWidth="1"/>
    <col min="11" max="11" width="15" style="1" customWidth="1"/>
    <col min="12" max="12" width="13.5703125" style="1" customWidth="1"/>
    <col min="13" max="16384" width="9.140625" style="1"/>
  </cols>
  <sheetData>
    <row r="1" spans="1:14" ht="55.5" customHeight="1" x14ac:dyDescent="0.25">
      <c r="A1" s="273" t="s">
        <v>615</v>
      </c>
      <c r="B1" s="274"/>
      <c r="C1" s="274"/>
      <c r="D1" s="274"/>
      <c r="E1" s="274"/>
      <c r="F1" s="274"/>
      <c r="G1" s="274"/>
      <c r="H1" s="274"/>
      <c r="I1" s="274"/>
      <c r="J1" s="274"/>
      <c r="K1" s="275"/>
    </row>
    <row r="2" spans="1:14" x14ac:dyDescent="0.25">
      <c r="A2" s="243"/>
      <c r="B2" s="244"/>
      <c r="C2" s="245"/>
      <c r="D2" s="246"/>
      <c r="E2" s="245"/>
      <c r="F2" s="247"/>
      <c r="G2" s="248"/>
      <c r="H2" s="248"/>
      <c r="I2" s="249"/>
      <c r="J2" s="245"/>
      <c r="K2" s="250"/>
    </row>
    <row r="3" spans="1:14" ht="20.25" x14ac:dyDescent="0.25">
      <c r="A3" s="251"/>
      <c r="B3" s="119"/>
      <c r="C3" s="164"/>
      <c r="D3" s="128"/>
      <c r="E3" s="241"/>
      <c r="F3" s="8"/>
      <c r="G3" s="124"/>
      <c r="H3" s="9"/>
      <c r="I3" s="9"/>
      <c r="J3" s="10"/>
      <c r="K3" s="252"/>
    </row>
    <row r="4" spans="1:14" ht="21" x14ac:dyDescent="0.25">
      <c r="A4" s="253"/>
      <c r="B4" s="120"/>
      <c r="C4" s="181"/>
      <c r="D4" s="129"/>
      <c r="E4" s="241"/>
      <c r="F4" s="99"/>
      <c r="G4" s="99"/>
      <c r="H4" s="99"/>
      <c r="I4" s="99"/>
      <c r="J4" s="99"/>
      <c r="K4" s="254"/>
    </row>
    <row r="5" spans="1:14" ht="18.75" x14ac:dyDescent="0.25">
      <c r="A5" s="255"/>
      <c r="B5" s="120"/>
      <c r="C5" s="120"/>
      <c r="D5" s="120"/>
      <c r="E5" s="126"/>
      <c r="F5" s="100"/>
      <c r="G5" s="100"/>
      <c r="H5" s="100"/>
      <c r="I5" s="100"/>
      <c r="J5" s="100"/>
      <c r="K5" s="254"/>
    </row>
    <row r="6" spans="1:14" ht="20.25" x14ac:dyDescent="0.25">
      <c r="A6" s="256"/>
      <c r="B6" s="125"/>
      <c r="C6" s="132"/>
      <c r="D6" s="125"/>
      <c r="E6" s="119"/>
      <c r="F6" s="119"/>
      <c r="G6" s="182"/>
      <c r="H6" s="182"/>
      <c r="I6" s="237"/>
      <c r="J6" s="119"/>
      <c r="K6" s="254"/>
    </row>
    <row r="7" spans="1:14" x14ac:dyDescent="0.25">
      <c r="A7" s="256"/>
      <c r="B7" s="125"/>
      <c r="C7" s="125"/>
      <c r="D7" s="7"/>
      <c r="E7" s="119"/>
      <c r="F7" s="119"/>
      <c r="G7" s="182"/>
      <c r="H7" s="182"/>
      <c r="I7" s="237"/>
      <c r="J7" s="236"/>
      <c r="K7" s="254"/>
    </row>
    <row r="8" spans="1:14" x14ac:dyDescent="0.25">
      <c r="A8" s="256"/>
      <c r="B8" s="125"/>
      <c r="C8" s="125"/>
      <c r="D8" s="7"/>
      <c r="E8" s="119"/>
      <c r="F8" s="119"/>
      <c r="G8" s="182"/>
      <c r="H8" s="182"/>
      <c r="I8" s="237"/>
      <c r="J8" s="242"/>
      <c r="K8" s="254"/>
    </row>
    <row r="9" spans="1:14" x14ac:dyDescent="0.25">
      <c r="A9" s="256"/>
      <c r="B9" s="125"/>
      <c r="C9" s="125"/>
      <c r="D9" s="7"/>
      <c r="E9" s="119"/>
      <c r="F9" s="119"/>
      <c r="G9" s="182"/>
      <c r="H9" s="182"/>
      <c r="I9" s="237"/>
      <c r="J9" s="119"/>
      <c r="K9" s="254"/>
    </row>
    <row r="10" spans="1:14" x14ac:dyDescent="0.25">
      <c r="A10" s="256"/>
      <c r="B10" s="125"/>
      <c r="C10" s="125"/>
      <c r="D10" s="7"/>
      <c r="E10" s="119"/>
      <c r="F10" s="119"/>
      <c r="G10" s="182"/>
      <c r="H10" s="182"/>
      <c r="I10" s="237"/>
      <c r="J10" s="119"/>
      <c r="K10" s="254"/>
    </row>
    <row r="11" spans="1:14" x14ac:dyDescent="0.25">
      <c r="A11" s="256"/>
      <c r="B11" s="125"/>
      <c r="C11" s="125"/>
      <c r="D11" s="7"/>
      <c r="E11" s="119"/>
      <c r="F11" s="119"/>
      <c r="G11" s="182"/>
      <c r="H11" s="182"/>
      <c r="I11" s="237"/>
      <c r="J11" s="119"/>
      <c r="K11" s="254"/>
    </row>
    <row r="12" spans="1:14" x14ac:dyDescent="0.25">
      <c r="A12" s="257"/>
      <c r="B12" s="119"/>
      <c r="C12" s="119"/>
      <c r="D12" s="183"/>
      <c r="E12" s="119"/>
      <c r="F12" s="119"/>
      <c r="G12" s="182"/>
      <c r="H12" s="182"/>
      <c r="I12" s="237"/>
      <c r="J12" s="119"/>
      <c r="K12" s="254"/>
    </row>
    <row r="13" spans="1:14" x14ac:dyDescent="0.25">
      <c r="A13" s="258"/>
      <c r="B13" s="119"/>
      <c r="C13" s="119"/>
      <c r="D13" s="183"/>
      <c r="E13" s="119"/>
      <c r="F13" s="119"/>
      <c r="G13" s="182"/>
      <c r="H13" s="182"/>
      <c r="I13" s="237"/>
      <c r="J13" s="119"/>
      <c r="K13" s="254"/>
    </row>
    <row r="14" spans="1:14" x14ac:dyDescent="0.25">
      <c r="A14" s="258"/>
      <c r="B14" s="119"/>
      <c r="C14" s="119"/>
      <c r="D14" s="183"/>
      <c r="E14" s="119"/>
      <c r="F14" s="119"/>
      <c r="G14" s="182"/>
      <c r="H14" s="182"/>
      <c r="I14" s="237"/>
      <c r="J14" s="119"/>
      <c r="K14" s="254"/>
      <c r="N14" s="5"/>
    </row>
    <row r="15" spans="1:14" x14ac:dyDescent="0.25">
      <c r="A15" s="259"/>
      <c r="B15" s="119"/>
      <c r="C15" s="119"/>
      <c r="D15" s="183"/>
      <c r="E15" s="119"/>
      <c r="F15" s="119"/>
      <c r="G15" s="182"/>
      <c r="H15" s="182"/>
      <c r="I15" s="237"/>
      <c r="J15" s="119"/>
      <c r="K15" s="254"/>
    </row>
    <row r="16" spans="1:14" x14ac:dyDescent="0.25">
      <c r="A16" s="259"/>
      <c r="B16" s="119"/>
      <c r="C16" s="119"/>
      <c r="D16" s="183"/>
      <c r="E16" s="119"/>
      <c r="F16" s="119"/>
      <c r="G16" s="182"/>
      <c r="H16" s="182"/>
      <c r="I16" s="237"/>
      <c r="J16" s="119"/>
      <c r="K16" s="254"/>
    </row>
    <row r="17" spans="1:11" x14ac:dyDescent="0.25">
      <c r="A17" s="259"/>
      <c r="B17" s="119"/>
      <c r="C17" s="119"/>
      <c r="D17" s="183"/>
      <c r="E17" s="119"/>
      <c r="F17" s="119"/>
      <c r="G17" s="182"/>
      <c r="H17" s="182"/>
      <c r="I17" s="237"/>
      <c r="J17" s="119"/>
      <c r="K17" s="254"/>
    </row>
    <row r="18" spans="1:11" x14ac:dyDescent="0.25">
      <c r="A18" s="259"/>
      <c r="B18" s="119"/>
      <c r="C18" s="119"/>
      <c r="D18" s="183"/>
      <c r="E18" s="119"/>
      <c r="F18" s="119"/>
      <c r="G18" s="182"/>
      <c r="H18" s="182"/>
      <c r="I18" s="237"/>
      <c r="J18" s="119"/>
      <c r="K18" s="254"/>
    </row>
    <row r="19" spans="1:11" x14ac:dyDescent="0.25">
      <c r="A19" s="259"/>
      <c r="B19" s="119"/>
      <c r="C19" s="119"/>
      <c r="D19" s="183"/>
      <c r="E19" s="119"/>
      <c r="F19" s="119"/>
      <c r="G19" s="182"/>
      <c r="H19" s="182"/>
      <c r="I19" s="237"/>
      <c r="J19" s="119"/>
      <c r="K19" s="254"/>
    </row>
    <row r="20" spans="1:11" x14ac:dyDescent="0.25">
      <c r="A20" s="259"/>
      <c r="B20" s="119"/>
      <c r="C20" s="119"/>
      <c r="D20" s="183"/>
      <c r="E20" s="119"/>
      <c r="F20" s="119"/>
      <c r="G20" s="182"/>
      <c r="H20" s="182"/>
      <c r="I20" s="237"/>
      <c r="J20" s="119"/>
      <c r="K20" s="254"/>
    </row>
    <row r="21" spans="1:11" x14ac:dyDescent="0.25">
      <c r="A21" s="259"/>
      <c r="B21" s="119"/>
      <c r="C21" s="119"/>
      <c r="D21" s="183"/>
      <c r="E21" s="119"/>
      <c r="F21" s="119"/>
      <c r="G21" s="182"/>
      <c r="H21" s="182"/>
      <c r="I21" s="237"/>
      <c r="J21" s="119"/>
      <c r="K21" s="254"/>
    </row>
    <row r="22" spans="1:11" x14ac:dyDescent="0.25">
      <c r="A22" s="259"/>
      <c r="B22" s="119"/>
      <c r="C22" s="119"/>
      <c r="D22" s="183"/>
      <c r="E22" s="119"/>
      <c r="F22" s="119"/>
      <c r="G22" s="182"/>
      <c r="H22" s="182"/>
      <c r="I22" s="237"/>
      <c r="J22" s="119"/>
      <c r="K22" s="254"/>
    </row>
    <row r="23" spans="1:11" x14ac:dyDescent="0.25">
      <c r="A23" s="259"/>
      <c r="B23" s="119"/>
      <c r="C23" s="119"/>
      <c r="D23" s="183"/>
      <c r="E23" s="119"/>
      <c r="F23" s="119"/>
      <c r="G23" s="182"/>
      <c r="H23" s="182"/>
      <c r="I23" s="237"/>
      <c r="J23" s="119"/>
      <c r="K23" s="254"/>
    </row>
    <row r="24" spans="1:11" x14ac:dyDescent="0.25">
      <c r="A24" s="259"/>
      <c r="B24" s="119"/>
      <c r="C24" s="119"/>
      <c r="D24" s="183"/>
      <c r="E24" s="119"/>
      <c r="F24" s="119"/>
      <c r="G24" s="182"/>
      <c r="H24" s="182"/>
      <c r="I24" s="237"/>
      <c r="J24" s="119"/>
      <c r="K24" s="254"/>
    </row>
    <row r="25" spans="1:11" x14ac:dyDescent="0.25">
      <c r="A25" s="259"/>
      <c r="B25" s="119"/>
      <c r="C25" s="119"/>
      <c r="D25" s="183"/>
      <c r="E25" s="119"/>
      <c r="F25" s="119"/>
      <c r="G25" s="182"/>
      <c r="H25" s="182"/>
      <c r="I25" s="237"/>
      <c r="J25" s="119"/>
      <c r="K25" s="254"/>
    </row>
    <row r="26" spans="1:11" x14ac:dyDescent="0.25">
      <c r="A26" s="259"/>
      <c r="B26" s="119"/>
      <c r="C26" s="119"/>
      <c r="D26" s="183"/>
      <c r="E26" s="119"/>
      <c r="F26" s="119"/>
      <c r="G26" s="182"/>
      <c r="H26" s="182"/>
      <c r="I26" s="237"/>
      <c r="J26" s="119"/>
      <c r="K26" s="254"/>
    </row>
    <row r="27" spans="1:11" x14ac:dyDescent="0.25">
      <c r="A27" s="259"/>
      <c r="B27" s="119"/>
      <c r="C27" s="119"/>
      <c r="D27" s="183"/>
      <c r="E27" s="119"/>
      <c r="F27" s="119"/>
      <c r="G27" s="182"/>
      <c r="H27" s="182"/>
      <c r="I27" s="237"/>
      <c r="J27" s="119"/>
      <c r="K27" s="254"/>
    </row>
    <row r="28" spans="1:11" x14ac:dyDescent="0.25">
      <c r="A28" s="259"/>
      <c r="B28" s="119"/>
      <c r="C28" s="119"/>
      <c r="D28" s="183"/>
      <c r="E28" s="119"/>
      <c r="F28" s="119"/>
      <c r="G28" s="182"/>
      <c r="H28" s="182"/>
      <c r="I28" s="237"/>
      <c r="J28" s="119"/>
      <c r="K28" s="254"/>
    </row>
    <row r="29" spans="1:11" x14ac:dyDescent="0.25">
      <c r="A29" s="260"/>
      <c r="B29" s="168"/>
      <c r="C29" s="168"/>
      <c r="D29" s="261"/>
      <c r="E29" s="168"/>
      <c r="F29" s="168"/>
      <c r="G29" s="262"/>
      <c r="H29" s="262"/>
      <c r="I29" s="263"/>
      <c r="J29" s="168"/>
      <c r="K29" s="264"/>
    </row>
  </sheetData>
  <mergeCells count="1">
    <mergeCell ref="A1:K1"/>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shapeId="1025" r:id="rId4">
          <objectPr defaultSize="0" autoPict="0" r:id="rId5">
            <anchor moveWithCells="1" sizeWithCells="1">
              <from>
                <xdr:col>6</xdr:col>
                <xdr:colOff>295275</xdr:colOff>
                <xdr:row>2</xdr:row>
                <xdr:rowOff>85725</xdr:rowOff>
              </from>
              <to>
                <xdr:col>7</xdr:col>
                <xdr:colOff>1181100</xdr:colOff>
                <xdr:row>9</xdr:row>
                <xdr:rowOff>180975</xdr:rowOff>
              </to>
            </anchor>
          </objectPr>
        </oleObject>
      </mc:Choice>
      <mc:Fallback>
        <oleObject progId="Packager Shell Object" shapeId="1025" r:id="rId4"/>
      </mc:Fallback>
    </mc:AlternateContent>
    <mc:AlternateContent xmlns:mc="http://schemas.openxmlformats.org/markup-compatibility/2006">
      <mc:Choice Requires="x14">
        <oleObject progId="Packager Shell Object" shapeId="1026" r:id="rId6">
          <objectPr defaultSize="0" autoPict="0" r:id="rId7">
            <anchor moveWithCells="1" sizeWithCells="1">
              <from>
                <xdr:col>7</xdr:col>
                <xdr:colOff>1371600</xdr:colOff>
                <xdr:row>2</xdr:row>
                <xdr:rowOff>152400</xdr:rowOff>
              </from>
              <to>
                <xdr:col>9</xdr:col>
                <xdr:colOff>419100</xdr:colOff>
                <xdr:row>9</xdr:row>
                <xdr:rowOff>85725</xdr:rowOff>
              </to>
            </anchor>
          </objectPr>
        </oleObject>
      </mc:Choice>
      <mc:Fallback>
        <oleObject progId="Packager Shell Object" shapeId="1026" r:id="rId6"/>
      </mc:Fallback>
    </mc:AlternateContent>
    <mc:AlternateContent xmlns:mc="http://schemas.openxmlformats.org/markup-compatibility/2006">
      <mc:Choice Requires="x14">
        <oleObject progId="Packager Shell Object" shapeId="1028" r:id="rId8">
          <objectPr defaultSize="0" autoPict="0" r:id="rId9">
            <anchor moveWithCells="1">
              <from>
                <xdr:col>7</xdr:col>
                <xdr:colOff>1295400</xdr:colOff>
                <xdr:row>2</xdr:row>
                <xdr:rowOff>85725</xdr:rowOff>
              </from>
              <to>
                <xdr:col>9</xdr:col>
                <xdr:colOff>838200</xdr:colOff>
                <xdr:row>9</xdr:row>
                <xdr:rowOff>161925</xdr:rowOff>
              </to>
            </anchor>
          </objectPr>
        </oleObject>
      </mc:Choice>
      <mc:Fallback>
        <oleObject progId="Packager Shell Object" shapeId="1028" r:id="rId8"/>
      </mc:Fallback>
    </mc:AlternateContent>
    <mc:AlternateContent xmlns:mc="http://schemas.openxmlformats.org/markup-compatibility/2006">
      <mc:Choice Requires="x14">
        <oleObject progId="Packager Shell Object" shapeId="2" r:id="rId10">
          <objectPr defaultSize="0" autoPict="0" r:id="rId11">
            <anchor moveWithCells="1">
              <from>
                <xdr:col>8</xdr:col>
                <xdr:colOff>885825</xdr:colOff>
                <xdr:row>18</xdr:row>
                <xdr:rowOff>180975</xdr:rowOff>
              </from>
              <to>
                <xdr:col>10</xdr:col>
                <xdr:colOff>914400</xdr:colOff>
                <xdr:row>26</xdr:row>
                <xdr:rowOff>123825</xdr:rowOff>
              </to>
            </anchor>
          </objectPr>
        </oleObject>
      </mc:Choice>
      <mc:Fallback>
        <oleObject progId="Packager Shell Object" shapeId="1029"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Tools</vt:lpstr>
      <vt:lpstr>Test Cases</vt:lpstr>
      <vt:lpstr>Constants</vt:lpstr>
      <vt:lpstr>Troubleshooting</vt:lpstr>
      <vt:lpstr>Cert_Suite_Status</vt:lpstr>
      <vt:lpstr>Engineer_Names</vt:lpstr>
      <vt:lpstr>Fail_Type_Values</vt:lpstr>
      <vt:lpstr>Modes</vt:lpstr>
      <vt:lpstr>Outside_Bug_Tool_Link</vt:lpstr>
      <vt:lpstr>Stability_Values</vt:lpstr>
      <vt:lpstr>TestCaseStatus</vt:lpstr>
    </vt:vector>
  </TitlesOfParts>
  <Company>LTRC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Duy Le</dc:creator>
  <cp:lastModifiedBy>tino112</cp:lastModifiedBy>
  <cp:lastPrinted>2012-07-04T08:41:33Z</cp:lastPrinted>
  <dcterms:created xsi:type="dcterms:W3CDTF">2012-07-03T03:27:30Z</dcterms:created>
  <dcterms:modified xsi:type="dcterms:W3CDTF">2015-06-28T15:58:19Z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_GUID">
    <vt:lpwstr>708fbf80-c162-41fe-a6eb-f16fed008cd6</vt:lpwstr>
  </property>
</Properties>
</file>